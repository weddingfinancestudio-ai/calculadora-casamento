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" sheetId="1" r:id="rId5"/>
    <sheet state="visible" name="Parâmetros" sheetId="2" r:id="rId6"/>
    <sheet state="visible" name="Espaços" sheetId="3" r:id="rId7"/>
    <sheet state="visible" name="RESUMO_EMAIL" sheetId="4" r:id="rId8"/>
  </sheets>
  <definedNames>
    <definedName hidden="1" localSheetId="2" name="_xlnm._FilterDatabase">'Espaços'!$B$2:$H$391</definedName>
  </definedNames>
  <calcPr/>
</workbook>
</file>

<file path=xl/sharedStrings.xml><?xml version="1.0" encoding="utf-8"?>
<sst xmlns="http://schemas.openxmlformats.org/spreadsheetml/2006/main" count="9061" uniqueCount="1231">
  <si>
    <t>cálculo baseado no orçamento</t>
  </si>
  <si>
    <t>Orçamento Total (€)</t>
  </si>
  <si>
    <t>cálculo baseado nos convidados</t>
  </si>
  <si>
    <t>Nº de Convidados</t>
  </si>
  <si>
    <t>Distrito</t>
  </si>
  <si>
    <t>Aveiro</t>
  </si>
  <si>
    <t>tipo de cerimonia</t>
  </si>
  <si>
    <t>Registo Civil - Externo</t>
  </si>
  <si>
    <t>Época do ano</t>
  </si>
  <si>
    <t>Estilo</t>
  </si>
  <si>
    <t>Platinum</t>
  </si>
  <si>
    <t>Lisboa</t>
  </si>
  <si>
    <t>Total</t>
  </si>
  <si>
    <t>orçamento por estilo</t>
  </si>
  <si>
    <t>Categoria</t>
  </si>
  <si>
    <t>Valor</t>
  </si>
  <si>
    <t>TipoValor</t>
  </si>
  <si>
    <t>Espaços</t>
  </si>
  <si>
    <t>Smart</t>
  </si>
  <si>
    <t>PP</t>
  </si>
  <si>
    <t>Select</t>
  </si>
  <si>
    <t>Qtde</t>
  </si>
  <si>
    <t>Preço unitário (€)</t>
  </si>
  <si>
    <t>Total (€)</t>
  </si>
  <si>
    <t>Premium</t>
  </si>
  <si>
    <t>Fotografia</t>
  </si>
  <si>
    <t>1</t>
  </si>
  <si>
    <t>Beja</t>
  </si>
  <si>
    <t>Vídeo</t>
  </si>
  <si>
    <t>Música &amp; Animação</t>
  </si>
  <si>
    <t>Decoração &amp; Flores</t>
  </si>
  <si>
    <t>Noiva</t>
  </si>
  <si>
    <t>Braga</t>
  </si>
  <si>
    <t>Noivo</t>
  </si>
  <si>
    <t>Convites</t>
  </si>
  <si>
    <t>Lembranças</t>
  </si>
  <si>
    <t>Transporte</t>
  </si>
  <si>
    <t>Bragança</t>
  </si>
  <si>
    <t>sub total</t>
  </si>
  <si>
    <t>Registo Civil - Cartório</t>
  </si>
  <si>
    <t>Castelo Branco</t>
  </si>
  <si>
    <t>Igreja</t>
  </si>
  <si>
    <t>Coimbra</t>
  </si>
  <si>
    <t>Évora</t>
  </si>
  <si>
    <t>Faro</t>
  </si>
  <si>
    <t>Distribuição recomendada do orçamento (ajustável)</t>
  </si>
  <si>
    <t>Percentagem (%)</t>
  </si>
  <si>
    <t>Valor (€)</t>
  </si>
  <si>
    <t>€ pp/total</t>
  </si>
  <si>
    <t>Guarda</t>
  </si>
  <si>
    <t>Leiria</t>
  </si>
  <si>
    <t>Noiva &amp; Noivo (vestuário)</t>
  </si>
  <si>
    <t>Registo Civil / Igreja</t>
  </si>
  <si>
    <t>Margem de Imprevistos</t>
  </si>
  <si>
    <t>Total percentagem</t>
  </si>
  <si>
    <t>Portalegre</t>
  </si>
  <si>
    <t>Aviso</t>
  </si>
  <si>
    <t>Porto</t>
  </si>
  <si>
    <t>Santarém</t>
  </si>
  <si>
    <t>Setúbal</t>
  </si>
  <si>
    <t>Viana do Castelo</t>
  </si>
  <si>
    <t>Vila Real</t>
  </si>
  <si>
    <t>Viseu</t>
  </si>
  <si>
    <t>Açores</t>
  </si>
  <si>
    <t>Madeira</t>
  </si>
  <si>
    <t>TT</t>
  </si>
  <si>
    <t>Espaço</t>
  </si>
  <si>
    <t>Nome</t>
  </si>
  <si>
    <t>Preço</t>
  </si>
  <si>
    <t>Estrelas</t>
  </si>
  <si>
    <t>Nº pessoas</t>
  </si>
  <si>
    <t>Link</t>
  </si>
  <si>
    <t>Quintas</t>
  </si>
  <si>
    <t>Villa Diogo 1906</t>
  </si>
  <si>
    <t>Teamevents</t>
  </si>
  <si>
    <t>Riabela Eventos</t>
  </si>
  <si>
    <t>Solar das Estátuas</t>
  </si>
  <si>
    <t>Hotéis</t>
  </si>
  <si>
    <t xml:space="preserve">Tulip Inn Estarreja Hotel &amp; Spa
</t>
  </si>
  <si>
    <t>Quinta Sol Nascente</t>
  </si>
  <si>
    <t>Quinta dos Vales</t>
  </si>
  <si>
    <t>Quinta da Relva</t>
  </si>
  <si>
    <t>Dom Rogério Oiã</t>
  </si>
  <si>
    <t>Casa dos Maias</t>
  </si>
  <si>
    <t xml:space="preserve">Hostel da Praça
</t>
  </si>
  <si>
    <t>Quinta da Avistada</t>
  </si>
  <si>
    <t xml:space="preserve">Casa Noronha Lima - Historic Stay
</t>
  </si>
  <si>
    <t>Sitio Amores Perfeitos</t>
  </si>
  <si>
    <t>Quinta do Palhal</t>
  </si>
  <si>
    <t>Casa da Regueira</t>
  </si>
  <si>
    <t>Sítio dos Oliveiras</t>
  </si>
  <si>
    <t>Quinta do Lano</t>
  </si>
  <si>
    <t>Hotel S. Pedro</t>
  </si>
  <si>
    <t>Quinta Outeiro &amp; Sobreiro Real</t>
  </si>
  <si>
    <t>O Carlos - Quinta do Moinho</t>
  </si>
  <si>
    <t>Quinta Loureiro Eventos</t>
  </si>
  <si>
    <t>Quinta do Espigueiro</t>
  </si>
  <si>
    <t>Quinta Sol Da Cavada Velha</t>
  </si>
  <si>
    <t xml:space="preserve">Meliá Ria - Hotel &amp; Spa
</t>
  </si>
  <si>
    <t>Quinta Dona Aurora</t>
  </si>
  <si>
    <t>Casa das Ribas - QuimeraGlamour</t>
  </si>
  <si>
    <t>Adega Rama</t>
  </si>
  <si>
    <t>Quinta D’Arcos</t>
  </si>
  <si>
    <t xml:space="preserve">Curia Palace
</t>
  </si>
  <si>
    <t xml:space="preserve">Quinta do Monte
</t>
  </si>
  <si>
    <t xml:space="preserve">Quinta das Azenhas do Boco
</t>
  </si>
  <si>
    <t xml:space="preserve">Jardim dos Aromas
</t>
  </si>
  <si>
    <t xml:space="preserve">Casa da Noquinhas
</t>
  </si>
  <si>
    <t xml:space="preserve">Quinta do Mateus
</t>
  </si>
  <si>
    <t>Quinta Progresso</t>
  </si>
  <si>
    <t xml:space="preserve">Quinta do Louredo
</t>
  </si>
  <si>
    <t xml:space="preserve">Quinta da Boavista
</t>
  </si>
  <si>
    <t xml:space="preserve">Quinta Vieira
</t>
  </si>
  <si>
    <t xml:space="preserve">Quinta de Fajões
</t>
  </si>
  <si>
    <t xml:space="preserve">Vale do Rio Hotel Rural
</t>
  </si>
  <si>
    <t xml:space="preserve">Solar do Alambique
</t>
  </si>
  <si>
    <t xml:space="preserve">Casa do Lago
</t>
  </si>
  <si>
    <t xml:space="preserve">Quinta D´Além da Ponte
</t>
  </si>
  <si>
    <t>Quintinha de Seitela</t>
  </si>
  <si>
    <t xml:space="preserve">Green House Events
</t>
  </si>
  <si>
    <t xml:space="preserve">Hotel de Ílhavo
</t>
  </si>
  <si>
    <t xml:space="preserve">Hotel Exe Praia Golfe
</t>
  </si>
  <si>
    <t>Hotel</t>
  </si>
  <si>
    <t xml:space="preserve">Encosta dos Túneis
</t>
  </si>
  <si>
    <t xml:space="preserve">Quinta do Caima
</t>
  </si>
  <si>
    <t xml:space="preserve">Pousio Eventos
</t>
  </si>
  <si>
    <t xml:space="preserve">Quinta da Costa
</t>
  </si>
  <si>
    <t xml:space="preserve">Quinta dos Bellos
</t>
  </si>
  <si>
    <t xml:space="preserve">Quinta de Alvre
</t>
  </si>
  <si>
    <t xml:space="preserve">Quinta Largo da Vila
</t>
  </si>
  <si>
    <t xml:space="preserve">Quinta da Costeira
</t>
  </si>
  <si>
    <t xml:space="preserve">Palace Hotel do Buçaco
</t>
  </si>
  <si>
    <t>Quinta da Fontoura</t>
  </si>
  <si>
    <t xml:space="preserve">Quinta do Éden
</t>
  </si>
  <si>
    <t>Quinta do Encontro</t>
  </si>
  <si>
    <t xml:space="preserve">Quinta da Devesa
</t>
  </si>
  <si>
    <t xml:space="preserve">Casa de Abis
</t>
  </si>
  <si>
    <t xml:space="preserve">MS Collection Arouca
</t>
  </si>
  <si>
    <t xml:space="preserve">Monte Fernão Dias
</t>
  </si>
  <si>
    <t xml:space="preserve">Magic Valley
</t>
  </si>
  <si>
    <t xml:space="preserve">Casa das Talhas
</t>
  </si>
  <si>
    <t xml:space="preserve">Quintinha Girassol
</t>
  </si>
  <si>
    <t>Restaurantes</t>
  </si>
  <si>
    <t xml:space="preserve">Restaurante A Casa
</t>
  </si>
  <si>
    <t xml:space="preserve">Quinta do Roque
</t>
  </si>
  <si>
    <t xml:space="preserve">Eurostars Santa Luzia
</t>
  </si>
  <si>
    <t xml:space="preserve">Hotéis do Bom Jesus
</t>
  </si>
  <si>
    <t xml:space="preserve">Avô Moleiro - Country House
</t>
  </si>
  <si>
    <t xml:space="preserve">Casa Fundevila
</t>
  </si>
  <si>
    <t xml:space="preserve">Casa de Mosqueiros
</t>
  </si>
  <si>
    <t xml:space="preserve">Restaurante Angelorum
</t>
  </si>
  <si>
    <t xml:space="preserve">Quinta Bem Cozinhado
</t>
  </si>
  <si>
    <t xml:space="preserve">Quinta Rei do Leitão
</t>
  </si>
  <si>
    <t xml:space="preserve">Vale do Sol Eventos
</t>
  </si>
  <si>
    <t xml:space="preserve">Axis Ofir Beach Resort Hotel
</t>
  </si>
  <si>
    <t xml:space="preserve">Hotel Falperra
</t>
  </si>
  <si>
    <t>Fátima e Cunha</t>
  </si>
  <si>
    <t xml:space="preserve">Quinta D'Ávila
</t>
  </si>
  <si>
    <t xml:space="preserve">Quinta de Santa Comba
</t>
  </si>
  <si>
    <t xml:space="preserve">Quinta de Santa Marta
</t>
  </si>
  <si>
    <t xml:space="preserve">Quinta do Rio - Gerês
</t>
  </si>
  <si>
    <t xml:space="preserve">Quinta do Farejal
</t>
  </si>
  <si>
    <t xml:space="preserve">Casa do Lindo
</t>
  </si>
  <si>
    <t xml:space="preserve">Com Requinte Guimarães
</t>
  </si>
  <si>
    <t xml:space="preserve">Quinta do Esporão
</t>
  </si>
  <si>
    <t xml:space="preserve">Primeira Dinastia - Eventos
</t>
  </si>
  <si>
    <t xml:space="preserve">Solar do Lagar
</t>
  </si>
  <si>
    <t xml:space="preserve">Quinta da Torre
</t>
  </si>
  <si>
    <t xml:space="preserve">Quinta da Cerca
</t>
  </si>
  <si>
    <t xml:space="preserve">Hotel S. Bento
</t>
  </si>
  <si>
    <t xml:space="preserve">Quinta do Coelho
</t>
  </si>
  <si>
    <t xml:space="preserve">Quinta de Labaçoso
</t>
  </si>
  <si>
    <t>Villam</t>
  </si>
  <si>
    <t xml:space="preserve">Quinta da Maínha
</t>
  </si>
  <si>
    <t xml:space="preserve">Oboé by Lu Marinho
</t>
  </si>
  <si>
    <t xml:space="preserve">O Campo
</t>
  </si>
  <si>
    <t xml:space="preserve">Quinta da Alegria
</t>
  </si>
  <si>
    <t xml:space="preserve">Casa da Guia
</t>
  </si>
  <si>
    <t>Quinta do Botas</t>
  </si>
  <si>
    <t>Quinta Paço Eventos</t>
  </si>
  <si>
    <t xml:space="preserve">Quinta de Salvador
</t>
  </si>
  <si>
    <t>Quinta do Grillo</t>
  </si>
  <si>
    <t xml:space="preserve">Encosta do Sossego
</t>
  </si>
  <si>
    <t xml:space="preserve">Quinta de Entre Vinhas
</t>
  </si>
  <si>
    <t xml:space="preserve">Quinta das Tulipas
</t>
  </si>
  <si>
    <t>Rilhadas</t>
  </si>
  <si>
    <t xml:space="preserve">Quinta Casa da Cal
</t>
  </si>
  <si>
    <t xml:space="preserve">Quinta da Lage - Solar do Burguês
</t>
  </si>
  <si>
    <t xml:space="preserve">Quinta das Princesas
</t>
  </si>
  <si>
    <t xml:space="preserve">Quinta Maria da Fonte
</t>
  </si>
  <si>
    <t xml:space="preserve">Abadia D'Este
</t>
  </si>
  <si>
    <t xml:space="preserve">Palacete da Quinta do Egipto
</t>
  </si>
  <si>
    <t xml:space="preserve">Quinta do Palácio Rauliana
</t>
  </si>
  <si>
    <t xml:space="preserve">Quinta do Ribeiro
</t>
  </si>
  <si>
    <t>Quinta Bica da Cruz</t>
  </si>
  <si>
    <t xml:space="preserve">Quinta Cedro do Ave
</t>
  </si>
  <si>
    <t xml:space="preserve">Quinta Santo André
</t>
  </si>
  <si>
    <t xml:space="preserve">Casa de Cerqueda Eventos
</t>
  </si>
  <si>
    <t xml:space="preserve">Quinta d'Alva
</t>
  </si>
  <si>
    <t xml:space="preserve">Quinta da Fonte
</t>
  </si>
  <si>
    <t xml:space="preserve">Casa da Portela
</t>
  </si>
  <si>
    <t xml:space="preserve">Cascata Cristalina Eventos
</t>
  </si>
  <si>
    <t xml:space="preserve">Quinta das Carpas
</t>
  </si>
  <si>
    <t xml:space="preserve">Quinta do Brasão
</t>
  </si>
  <si>
    <t xml:space="preserve">Quinta das Lamas
</t>
  </si>
  <si>
    <t xml:space="preserve">Quinta De Sabroso
</t>
  </si>
  <si>
    <t xml:space="preserve">Quintinha das Fervenças
</t>
  </si>
  <si>
    <t xml:space="preserve">Solar do Paço
</t>
  </si>
  <si>
    <t xml:space="preserve">Colina do Romão
</t>
  </si>
  <si>
    <t xml:space="preserve">Quinta de Resela
</t>
  </si>
  <si>
    <t xml:space="preserve">Quinta dos Jasmins
</t>
  </si>
  <si>
    <t>Quinta Vinha do Cabo</t>
  </si>
  <si>
    <t xml:space="preserve">Quinta da Granja
</t>
  </si>
  <si>
    <t xml:space="preserve">Quinta da Aldeia
</t>
  </si>
  <si>
    <t xml:space="preserve">Quinta Vila Verde
</t>
  </si>
  <si>
    <t xml:space="preserve">Sameiro Eventos
</t>
  </si>
  <si>
    <t xml:space="preserve">Herdade do Porisso
</t>
  </si>
  <si>
    <t xml:space="preserve">Quinta da Telhada
</t>
  </si>
  <si>
    <t xml:space="preserve">Quinta Cardeal
</t>
  </si>
  <si>
    <t xml:space="preserve">Glicínia Wedding House
</t>
  </si>
  <si>
    <t xml:space="preserve">Quinta da Fontinha
</t>
  </si>
  <si>
    <t xml:space="preserve">Quinta de Caslopo
</t>
  </si>
  <si>
    <t xml:space="preserve">Solar da Villa
</t>
  </si>
  <si>
    <t xml:space="preserve">Paço da Comenda - Premium Events
</t>
  </si>
  <si>
    <t xml:space="preserve">Casa do Gandião
</t>
  </si>
  <si>
    <t xml:space="preserve">Quinta Del Rei - Wedding Signature
</t>
  </si>
  <si>
    <t xml:space="preserve">Pinha Eventos
</t>
  </si>
  <si>
    <t xml:space="preserve">Quinta da Corredoura Hotel Rural
</t>
  </si>
  <si>
    <t xml:space="preserve">Solar das Bouças
</t>
  </si>
  <si>
    <t xml:space="preserve">Pousadela Village
</t>
  </si>
  <si>
    <t xml:space="preserve">Quinta dos Casais
</t>
  </si>
  <si>
    <t xml:space="preserve">Quinta de Castelães
</t>
  </si>
  <si>
    <t xml:space="preserve">Quinta Vila Marita
</t>
  </si>
  <si>
    <t xml:space="preserve">Lameiras Eventos
</t>
  </si>
  <si>
    <t xml:space="preserve">Quinta da Pia
</t>
  </si>
  <si>
    <t xml:space="preserve">Quinta da Fonte Amares
</t>
  </si>
  <si>
    <t xml:space="preserve">Sunset House
</t>
  </si>
  <si>
    <t xml:space="preserve">Colunata Eventos
</t>
  </si>
  <si>
    <t xml:space="preserve">Quinta da Eira do Sol
</t>
  </si>
  <si>
    <t xml:space="preserve">Solar da Levada
</t>
  </si>
  <si>
    <t xml:space="preserve">Quinta Lago dos Cisnes
</t>
  </si>
  <si>
    <t>Quinta do Bairro</t>
  </si>
  <si>
    <t xml:space="preserve">Restaurante Távora
</t>
  </si>
  <si>
    <t xml:space="preserve">PH in Alto Douro Vinhateiro
</t>
  </si>
  <si>
    <t xml:space="preserve">Quinta Bodas de Caná
</t>
  </si>
  <si>
    <t xml:space="preserve">D. MariAntonia
</t>
  </si>
  <si>
    <t xml:space="preserve">Hotel Spa Alfândega da Fé
</t>
  </si>
  <si>
    <t xml:space="preserve">Quinta da Charrete
</t>
  </si>
  <si>
    <t xml:space="preserve">Quinta da Terrincha - Douro Events
</t>
  </si>
  <si>
    <t xml:space="preserve">Quinta do Poulão
</t>
  </si>
  <si>
    <t xml:space="preserve">Quinta Valle de Passos
</t>
  </si>
  <si>
    <t>Glamping Hills</t>
  </si>
  <si>
    <t xml:space="preserve">Quinta das Covas
</t>
  </si>
  <si>
    <t xml:space="preserve">Quinta das Queimadas
</t>
  </si>
  <si>
    <t xml:space="preserve">Casal de Tralhariz
</t>
  </si>
  <si>
    <t xml:space="preserve">Quinta da Ponte
</t>
  </si>
  <si>
    <t xml:space="preserve">Quinta das Oliveiras
</t>
  </si>
  <si>
    <t xml:space="preserve">Hotel Covilhã Dona Maria Affiliated by Meliá
</t>
  </si>
  <si>
    <t xml:space="preserve">Quinta da Dança
</t>
  </si>
  <si>
    <t xml:space="preserve">Quinta das Flores
</t>
  </si>
  <si>
    <t xml:space="preserve">Herdade do Regato
</t>
  </si>
  <si>
    <t xml:space="preserve">Hotel Rainha D Amélia Arts &amp; Leisure
</t>
  </si>
  <si>
    <t xml:space="preserve">Quinta Varanda das Estevas
</t>
  </si>
  <si>
    <t xml:space="preserve">Quinta do Condestável
</t>
  </si>
  <si>
    <t xml:space="preserve">Meliá Castelo Branco
</t>
  </si>
  <si>
    <t xml:space="preserve">Restaurante Milita
</t>
  </si>
  <si>
    <t xml:space="preserve">Albergue do Bonjardim
</t>
  </si>
  <si>
    <t>Hotel da Montanha</t>
  </si>
  <si>
    <t xml:space="preserve">Vale Jardim Quinta
</t>
  </si>
  <si>
    <t xml:space="preserve">Fonte Santa Hotel
</t>
  </si>
  <si>
    <t xml:space="preserve">Santos &amp; Marçal
</t>
  </si>
  <si>
    <t xml:space="preserve">Quinta dos Quinteiros
</t>
  </si>
  <si>
    <t xml:space="preserve">Herdade Senhora de Mércoles
</t>
  </si>
  <si>
    <t xml:space="preserve">Quinta da Amoreira
</t>
  </si>
  <si>
    <t xml:space="preserve">Quinta de São Tiago
</t>
  </si>
  <si>
    <t xml:space="preserve">Convento de Belmonte
</t>
  </si>
  <si>
    <t xml:space="preserve">Quinta das Olelas
</t>
  </si>
  <si>
    <t xml:space="preserve">Quinta de Santa Teresinha
</t>
  </si>
  <si>
    <t xml:space="preserve">Quinta da Líria
</t>
  </si>
  <si>
    <t xml:space="preserve">Casa da Figueira Grande
</t>
  </si>
  <si>
    <t xml:space="preserve">O Alambique de Ouro
</t>
  </si>
  <si>
    <t xml:space="preserve">Casas de Alpedrinha
</t>
  </si>
  <si>
    <t xml:space="preserve">H2otel
</t>
  </si>
  <si>
    <t xml:space="preserve">Quinta da Nora
</t>
  </si>
  <si>
    <t xml:space="preserve">Sweet Residence &amp; Gardens Hotel
</t>
  </si>
  <si>
    <t xml:space="preserve">Terraço da Alta
</t>
  </si>
  <si>
    <t xml:space="preserve">Restaurante Cristina
</t>
  </si>
  <si>
    <t xml:space="preserve">Hotel Coimbra Affiliated by Meliá
</t>
  </si>
  <si>
    <t xml:space="preserve">Passaporte Coimbra
</t>
  </si>
  <si>
    <t>Quinta Vale Pousado</t>
  </si>
  <si>
    <t xml:space="preserve">Quinta de São Pedro da Pousada
</t>
  </si>
  <si>
    <t xml:space="preserve">Eurostars Oásis Plaza
</t>
  </si>
  <si>
    <t xml:space="preserve">Restaurante Olea
</t>
  </si>
  <si>
    <t xml:space="preserve">Duecitania Design Hotel
</t>
  </si>
  <si>
    <t xml:space="preserve">Convento do Desagravo Flag Hotel
</t>
  </si>
  <si>
    <t xml:space="preserve">Quinta Real Eventos
</t>
  </si>
  <si>
    <t xml:space="preserve">Quinta da Salmanha
</t>
  </si>
  <si>
    <t xml:space="preserve">Sitio Amores Perfeitos
</t>
  </si>
  <si>
    <t xml:space="preserve">Sítio dos Oliveiras
</t>
  </si>
  <si>
    <t xml:space="preserve">Essences Lousã
</t>
  </si>
  <si>
    <t xml:space="preserve">Quinta da Couceira
</t>
  </si>
  <si>
    <t xml:space="preserve">Quinta da Hortinha
</t>
  </si>
  <si>
    <t xml:space="preserve">Quinta das Janelas
</t>
  </si>
  <si>
    <t xml:space="preserve">Palácio Quinta da Portela
</t>
  </si>
  <si>
    <t xml:space="preserve">Quinta do Hospício
</t>
  </si>
  <si>
    <t xml:space="preserve">Quinta do Brijal
</t>
  </si>
  <si>
    <t xml:space="preserve">Quinta das Abertas
</t>
  </si>
  <si>
    <t xml:space="preserve">Quinta do Monte Redondo
</t>
  </si>
  <si>
    <t xml:space="preserve">Quinta Dona Maria
</t>
  </si>
  <si>
    <t xml:space="preserve">Quinta do Mourão
</t>
  </si>
  <si>
    <t xml:space="preserve">Adega Rama
</t>
  </si>
  <si>
    <t xml:space="preserve">Quintinha das Carreirinhas
</t>
  </si>
  <si>
    <t xml:space="preserve">Quinta do Taipal Eventos
</t>
  </si>
  <si>
    <t>Hotel Rural Quinta da Conchada</t>
  </si>
  <si>
    <t xml:space="preserve">La Maison Regina
</t>
  </si>
  <si>
    <t xml:space="preserve">Quinta d’Anta - Hotel Rural
</t>
  </si>
  <si>
    <t xml:space="preserve">Quinta Pinhal do Rei by Esporão Eventos
</t>
  </si>
  <si>
    <t xml:space="preserve">Aqua Village Health Resort &amp; SPA
</t>
  </si>
  <si>
    <t xml:space="preserve">Valle de Canas
</t>
  </si>
  <si>
    <t xml:space="preserve">Quinta do Sobreiro
</t>
  </si>
  <si>
    <t xml:space="preserve">Hotel Quinta das Lágrimas
</t>
  </si>
  <si>
    <t xml:space="preserve">Quinta da Pintoura
</t>
  </si>
  <si>
    <t>Quinta Oliveira</t>
  </si>
  <si>
    <t xml:space="preserve">Palácio da Lousã Boutique Hotel
</t>
  </si>
  <si>
    <t xml:space="preserve">Quinta dos Esconhais
</t>
  </si>
  <si>
    <t xml:space="preserve">Miravillas Hotel
</t>
  </si>
  <si>
    <t xml:space="preserve">Conímbriga Hotel do Paço </t>
  </si>
  <si>
    <t xml:space="preserve">Maroteira Eventos
</t>
  </si>
  <si>
    <t xml:space="preserve">Sem-Fim Restaurante
</t>
  </si>
  <si>
    <t xml:space="preserve">Estremoz Hotel
</t>
  </si>
  <si>
    <t>Restaurante Panorâmico Amieira Marina</t>
  </si>
  <si>
    <t xml:space="preserve">Pirâmides de São Pedro
</t>
  </si>
  <si>
    <t xml:space="preserve">Herdade da Valeira
</t>
  </si>
  <si>
    <t xml:space="preserve">Ribafreixo Wines
</t>
  </si>
  <si>
    <t xml:space="preserve">Quinta Nova Do Degebe - Galhetas
</t>
  </si>
  <si>
    <t xml:space="preserve">Herdade da Casa Branca
</t>
  </si>
  <si>
    <t xml:space="preserve">Monte do Sobral
</t>
  </si>
  <si>
    <t xml:space="preserve">Sorraia Hotel Rural
</t>
  </si>
  <si>
    <t xml:space="preserve">Alentejo Marmoris Hotel &amp; Spa
</t>
  </si>
  <si>
    <t xml:space="preserve">Monte da Oliveirinha Country House &amp; Events
</t>
  </si>
  <si>
    <t xml:space="preserve">Hotel Pateo dos Solares
</t>
  </si>
  <si>
    <t xml:space="preserve">M'Ar de Ar Muralhas
</t>
  </si>
  <si>
    <t>M'Ar de Ar Hotel Aqueduto</t>
  </si>
  <si>
    <t xml:space="preserve">Events by Manjar de Estremoz
</t>
  </si>
  <si>
    <t xml:space="preserve">Quinta do Cerrado
</t>
  </si>
  <si>
    <t xml:space="preserve">O Regedouro Eventos
</t>
  </si>
  <si>
    <t xml:space="preserve">Hotel Rural Horta da Moura
</t>
  </si>
  <si>
    <t xml:space="preserve">Quinta do Caçador
</t>
  </si>
  <si>
    <t xml:space="preserve">Forno da Telha
</t>
  </si>
  <si>
    <t xml:space="preserve">Quinta do Sande by Tempero de Alegria
</t>
  </si>
  <si>
    <t xml:space="preserve">Convento do Espinheiro
</t>
  </si>
  <si>
    <t>L'And</t>
  </si>
  <si>
    <t xml:space="preserve">Jardim das Oliveiras
</t>
  </si>
  <si>
    <t xml:space="preserve">Horta Grill
</t>
  </si>
  <si>
    <t xml:space="preserve">Hotel Rural Jules Verne
</t>
  </si>
  <si>
    <t xml:space="preserve">Atlantis Restaurante Bar
</t>
  </si>
  <si>
    <t xml:space="preserve">Spazio M
</t>
  </si>
  <si>
    <t xml:space="preserve">Vila Petra
</t>
  </si>
  <si>
    <t xml:space="preserve">Restaurante &amp; Bar Colina do Sol
</t>
  </si>
  <si>
    <t>Herdade Bonanza Fun and Events</t>
  </si>
  <si>
    <t>Restaurante O António</t>
  </si>
  <si>
    <t xml:space="preserve">Restaurante Churrasqueira Mursa
</t>
  </si>
  <si>
    <t xml:space="preserve">Elementos
</t>
  </si>
  <si>
    <t xml:space="preserve">Solar das Oliveiras
</t>
  </si>
  <si>
    <t xml:space="preserve">Hotel Vila Galé Albacora
</t>
  </si>
  <si>
    <t>Jupiter Algarve Hotel</t>
  </si>
  <si>
    <t xml:space="preserve">Quinta do Mel
</t>
  </si>
  <si>
    <t xml:space="preserve">Quinta Monte Caeiro
</t>
  </si>
  <si>
    <t xml:space="preserve">Quinta da Ribeira
</t>
  </si>
  <si>
    <t xml:space="preserve">Alte Hotel
</t>
  </si>
  <si>
    <t xml:space="preserve">Restaurante Jardim
</t>
  </si>
  <si>
    <t xml:space="preserve">Casino de Monte Gordo
</t>
  </si>
  <si>
    <t>A Quinta - Parque Tematico Rural e Eventos</t>
  </si>
  <si>
    <t xml:space="preserve">Hotel Faro
</t>
  </si>
  <si>
    <t xml:space="preserve">Monte Vale D'Éguas - Grupo Eventual
</t>
  </si>
  <si>
    <t xml:space="preserve">Hotel Eva
</t>
  </si>
  <si>
    <t xml:space="preserve">Villa Termal Caldas de Monchique
</t>
  </si>
  <si>
    <t xml:space="preserve">Quinta da Pomona
</t>
  </si>
  <si>
    <t xml:space="preserve">Âncora Park
</t>
  </si>
  <si>
    <t xml:space="preserve">Pestana Dom João II
</t>
  </si>
  <si>
    <t xml:space="preserve">Mercedes Country House
</t>
  </si>
  <si>
    <t xml:space="preserve">Tivoli Marina Portimão
</t>
  </si>
  <si>
    <t xml:space="preserve">Penina Hotel &amp; Golf Resort
</t>
  </si>
  <si>
    <t xml:space="preserve">Quinta do Monte - Algarve
</t>
  </si>
  <si>
    <t xml:space="preserve">Benamor Golf
</t>
  </si>
  <si>
    <t xml:space="preserve">Castro Marim Golfe &amp; Country Club
</t>
  </si>
  <si>
    <t xml:space="preserve">Monchique Resort &amp; Spa
</t>
  </si>
  <si>
    <t xml:space="preserve">Água Hotels Riverside
</t>
  </si>
  <si>
    <t xml:space="preserve">Água Hotels Vale da Lapa
</t>
  </si>
  <si>
    <t xml:space="preserve">O Parque das Laranjeiras
</t>
  </si>
  <si>
    <t xml:space="preserve">Villas d'Água
</t>
  </si>
  <si>
    <t xml:space="preserve">Pestana Alvor South Beach
</t>
  </si>
  <si>
    <t xml:space="preserve">Museu da Batata Doce
</t>
  </si>
  <si>
    <t xml:space="preserve">Real Picadeiro
</t>
  </si>
  <si>
    <t xml:space="preserve">Squash Restaurante
</t>
  </si>
  <si>
    <t xml:space="preserve">Quinta do Paraíso
</t>
  </si>
  <si>
    <t xml:space="preserve">A Ver Tavira Restaurante
</t>
  </si>
  <si>
    <t xml:space="preserve">Sem Espinhas Natura Beach
</t>
  </si>
  <si>
    <t>Puerto Madero</t>
  </si>
  <si>
    <t xml:space="preserve">As Fontes - Events Venue
</t>
  </si>
  <si>
    <t xml:space="preserve">Vila Fuzeta Bed&amp;Breakfast
</t>
  </si>
  <si>
    <t xml:space="preserve">Well Vale do Lobo
</t>
  </si>
  <si>
    <t xml:space="preserve">Chá com Água Salgada
</t>
  </si>
  <si>
    <t xml:space="preserve">Pezinhos N'areia
</t>
  </si>
  <si>
    <t xml:space="preserve">Epic Sana Algarve
</t>
  </si>
  <si>
    <t xml:space="preserve">Bela Vista Hotel &amp; Spa
</t>
  </si>
  <si>
    <t xml:space="preserve">Quinta dos Netos
</t>
  </si>
  <si>
    <t xml:space="preserve">Dona Filipa Hotel
</t>
  </si>
  <si>
    <t xml:space="preserve">Restaurante Estaminé
</t>
  </si>
  <si>
    <t xml:space="preserve">Retiro do Camponês
</t>
  </si>
  <si>
    <t xml:space="preserve">Ria Park Hotel &amp; SPA
</t>
  </si>
  <si>
    <t xml:space="preserve">Amendoeira Golf Resort
</t>
  </si>
  <si>
    <t xml:space="preserve">Hilton Vilamoura
</t>
  </si>
  <si>
    <t xml:space="preserve">Real Marina Hotel &amp; Spa
</t>
  </si>
  <si>
    <t xml:space="preserve">Tivoli Lagos
</t>
  </si>
  <si>
    <t xml:space="preserve">Spikes Restaurante
</t>
  </si>
  <si>
    <t xml:space="preserve">Quinta dos I's
</t>
  </si>
  <si>
    <t xml:space="preserve">AP Adriana Beach Resort
</t>
  </si>
  <si>
    <t>Vau Terrace - Weddings &amp; Events</t>
  </si>
  <si>
    <t xml:space="preserve">Tivoli Marina de Vilamoura
</t>
  </si>
  <si>
    <t xml:space="preserve">Aldeia da Pedralva
</t>
  </si>
  <si>
    <t xml:space="preserve">Restaurante Caniço
</t>
  </si>
  <si>
    <t xml:space="preserve">Cascade Resort
</t>
  </si>
  <si>
    <t xml:space="preserve">Quinta do Marco Hotel Rural
</t>
  </si>
  <si>
    <t xml:space="preserve">Xarme - Restaurante &amp; Bar
</t>
  </si>
  <si>
    <t xml:space="preserve">Hotel Quinta do Lago
</t>
  </si>
  <si>
    <t xml:space="preserve">Vila Vita Parc
</t>
  </si>
  <si>
    <t xml:space="preserve">Hotel Grande Real Santa Eulália
</t>
  </si>
  <si>
    <t xml:space="preserve">Pestana Alvor Praia
</t>
  </si>
  <si>
    <t xml:space="preserve">Pestana Viking Resort
</t>
  </si>
  <si>
    <t xml:space="preserve">Cuá Cuá Club - Quinta do Lago
</t>
  </si>
  <si>
    <t xml:space="preserve">Quinta dos Vales
</t>
  </si>
  <si>
    <t xml:space="preserve">Wine &amp; Books By The Sea Algarve Resort
</t>
  </si>
  <si>
    <t xml:space="preserve">Vila Alba Resort
</t>
  </si>
  <si>
    <t xml:space="preserve">São Rafael Atlântico
</t>
  </si>
  <si>
    <t xml:space="preserve">Solar do Paço Algarve
</t>
  </si>
  <si>
    <t>Pine Cliffs Hotel</t>
  </si>
  <si>
    <t xml:space="preserve">Monte Rei Golf &amp; Country Club
</t>
  </si>
  <si>
    <t xml:space="preserve">Domes Lake Algarve
</t>
  </si>
  <si>
    <t xml:space="preserve">Quinta do Lago
</t>
  </si>
  <si>
    <t xml:space="preserve">W Algarve
</t>
  </si>
  <si>
    <t xml:space="preserve">Crowne Plaza Vilamoura Algarve
</t>
  </si>
  <si>
    <t xml:space="preserve">Casa Monte Cristo Collection
</t>
  </si>
  <si>
    <t xml:space="preserve">Ynext Eventus
</t>
  </si>
  <si>
    <t xml:space="preserve">Quinta de Santo António
</t>
  </si>
  <si>
    <t xml:space="preserve">Quinta do Videira
</t>
  </si>
  <si>
    <t xml:space="preserve">Villa.Guarda
</t>
  </si>
  <si>
    <t xml:space="preserve">Casas Do Bragal
</t>
  </si>
  <si>
    <t xml:space="preserve">Quinta de Santo Estêvão
</t>
  </si>
  <si>
    <t xml:space="preserve">Quinta da Cheínha
</t>
  </si>
  <si>
    <t xml:space="preserve">Restaurante Coamuseu
</t>
  </si>
  <si>
    <t xml:space="preserve">Quinta d'O Padeiro - Panifex
</t>
  </si>
  <si>
    <t xml:space="preserve">O Albertino Folgosinho
</t>
  </si>
  <si>
    <t xml:space="preserve">Quinta Lameira da Cruz
</t>
  </si>
  <si>
    <t xml:space="preserve">Quinta do Moinho
</t>
  </si>
  <si>
    <t xml:space="preserve">Cró Hotel Rural
</t>
  </si>
  <si>
    <t xml:space="preserve">Madre de Água Hotel Rural
</t>
  </si>
  <si>
    <t xml:space="preserve">Casas do Côro
</t>
  </si>
  <si>
    <t xml:space="preserve">Hotel Lusitânia
</t>
  </si>
  <si>
    <t xml:space="preserve">Hotel Santa Maria Alcobaça
</t>
  </si>
  <si>
    <t xml:space="preserve">Quinta D. Dinis - Espuma de Hortelã Catering
</t>
  </si>
  <si>
    <t xml:space="preserve">Silver Coast
</t>
  </si>
  <si>
    <t xml:space="preserve">Real Abadia Congress &amp; Spa Hotel
</t>
  </si>
  <si>
    <t>Quinta São Francisco</t>
  </si>
  <si>
    <t xml:space="preserve">Casa da Nora
</t>
  </si>
  <si>
    <t xml:space="preserve">Quinta De Sant'Ana Redinha
</t>
  </si>
  <si>
    <t xml:space="preserve">Hotel Lis Batalha
</t>
  </si>
  <si>
    <t xml:space="preserve">Quinta das Maçãs
</t>
  </si>
  <si>
    <t xml:space="preserve">Quinta da Coutada
</t>
  </si>
  <si>
    <t xml:space="preserve">Albergaria Josefa d´Óbidos Hotel
</t>
  </si>
  <si>
    <t xml:space="preserve">Hotel Villa Batalha
</t>
  </si>
  <si>
    <t xml:space="preserve">S. Sebastião Restaurante
</t>
  </si>
  <si>
    <t xml:space="preserve">Quinta da Giesta
</t>
  </si>
  <si>
    <t xml:space="preserve">Quinta da Concha
</t>
  </si>
  <si>
    <t xml:space="preserve">Casa Adega do Mosteiro
</t>
  </si>
  <si>
    <t xml:space="preserve">Hotel Cristal
</t>
  </si>
  <si>
    <t xml:space="preserve">Restaurante A Gralha
</t>
  </si>
  <si>
    <t>Salões</t>
  </si>
  <si>
    <t xml:space="preserve">Salão Millénio
</t>
  </si>
  <si>
    <t xml:space="preserve">Quinta Flor do Alecrim
</t>
  </si>
  <si>
    <t xml:space="preserve">Quinta da Padeira
</t>
  </si>
  <si>
    <t xml:space="preserve">A Lareira
</t>
  </si>
  <si>
    <t xml:space="preserve">Monte Real - Hotel, Termas, Spa
</t>
  </si>
  <si>
    <t xml:space="preserve">Quinta Do Ti Lucas
</t>
  </si>
  <si>
    <t xml:space="preserve">Hotel Praia
</t>
  </si>
  <si>
    <t xml:space="preserve">Solar da Rainha - Eventos &amp; Alojamentos
</t>
  </si>
  <si>
    <t xml:space="preserve">Quinta Rei dos Banquetes
</t>
  </si>
  <si>
    <t xml:space="preserve">Quinta do Juncal
</t>
  </si>
  <si>
    <t xml:space="preserve">Quinta dos Birreiros
</t>
  </si>
  <si>
    <t xml:space="preserve">Praia D'El Rey Marriott Golf &amp; Beach Resort
</t>
  </si>
  <si>
    <t xml:space="preserve">Quinta da Valinha
</t>
  </si>
  <si>
    <t xml:space="preserve">Fonte do Corvo
</t>
  </si>
  <si>
    <t xml:space="preserve">Jardins do Barão
</t>
  </si>
  <si>
    <t>Quinta do Lagar Moinho do Porto</t>
  </si>
  <si>
    <t xml:space="preserve">Quinta do Paúl
</t>
  </si>
  <si>
    <t>Hotel Vila d'Óbidos</t>
  </si>
  <si>
    <t xml:space="preserve">Quinta dos Castanheiros - Morgatões
</t>
  </si>
  <si>
    <t xml:space="preserve">Quinta Júlia dos Ovos
</t>
  </si>
  <si>
    <t xml:space="preserve">Restaurante Dom Abade
</t>
  </si>
  <si>
    <t>Miramar Hotels</t>
  </si>
  <si>
    <t>Challet Fonte Nova</t>
  </si>
  <si>
    <t>Lisotel</t>
  </si>
  <si>
    <t>Quinta dos Loridos - Buddha Eden</t>
  </si>
  <si>
    <t xml:space="preserve">Iguarias do Tempo
</t>
  </si>
  <si>
    <t xml:space="preserve">Quinta de Santo António do Freixo
</t>
  </si>
  <si>
    <t xml:space="preserve">Evolutee Hotel Royal Óbidos
</t>
  </si>
  <si>
    <t xml:space="preserve">Quinta dos Lagos - Grupo Quinta dos Lagos
</t>
  </si>
  <si>
    <t xml:space="preserve">Quinta da Falca
</t>
  </si>
  <si>
    <t xml:space="preserve">Quinta do Pinheiro - Grupo Quinta dos Lagos
</t>
  </si>
  <si>
    <t xml:space="preserve">Haven Nature Hotel &amp; Villas
</t>
  </si>
  <si>
    <t xml:space="preserve">Vale d'Azenha Hotel Rural &amp; Residences
</t>
  </si>
  <si>
    <t xml:space="preserve">Rio do Prado
</t>
  </si>
  <si>
    <t xml:space="preserve">Kudissanga Eventos
</t>
  </si>
  <si>
    <t>7ª Arte Alfacinha</t>
  </si>
  <si>
    <t xml:space="preserve">O Saloio de Caneças
</t>
  </si>
  <si>
    <t xml:space="preserve">Rosa Ferreira Café e Restaurante
</t>
  </si>
  <si>
    <t xml:space="preserve">Eventos na Quinta
</t>
  </si>
  <si>
    <t xml:space="preserve">Hotel Praia Mar Carcavelos
</t>
  </si>
  <si>
    <t xml:space="preserve">Taverna D'Alcântara
</t>
  </si>
  <si>
    <t xml:space="preserve">Restaurante Viva Lisboa
</t>
  </si>
  <si>
    <t xml:space="preserve">A Delícia
</t>
  </si>
  <si>
    <t xml:space="preserve">Cruzeiros Tejo
</t>
  </si>
  <si>
    <t xml:space="preserve">Casa das Palmeiras
</t>
  </si>
  <si>
    <t xml:space="preserve">Restaurante Omnia
</t>
  </si>
  <si>
    <t xml:space="preserve">O Trilho
</t>
  </si>
  <si>
    <t xml:space="preserve">Meliá Lisboa Oriente
</t>
  </si>
  <si>
    <t xml:space="preserve">Hotel Açores Lisboa
</t>
  </si>
  <si>
    <t xml:space="preserve">Adega do Saloio
</t>
  </si>
  <si>
    <t>Restaurante Solar do Nunes</t>
  </si>
  <si>
    <t xml:space="preserve">Zeno Lounge
</t>
  </si>
  <si>
    <t xml:space="preserve">Our Lisbon
</t>
  </si>
  <si>
    <t xml:space="preserve">Solar das Camélias
</t>
  </si>
  <si>
    <t xml:space="preserve">Hotel Mundial - Rooftop Bar
</t>
  </si>
  <si>
    <t xml:space="preserve">Hotel Altis
</t>
  </si>
  <si>
    <t xml:space="preserve">Quinta da Rainha
</t>
  </si>
  <si>
    <t xml:space="preserve">Quinta dos Negros
</t>
  </si>
  <si>
    <t xml:space="preserve">Restaurante Cindirela
</t>
  </si>
  <si>
    <t xml:space="preserve">Restaurante O Camelo
</t>
  </si>
  <si>
    <t xml:space="preserve">Palmayachts
</t>
  </si>
  <si>
    <t xml:space="preserve">Restaurante Orixas
</t>
  </si>
  <si>
    <t xml:space="preserve">Quinta Cristo Rei de Sintra
</t>
  </si>
  <si>
    <t xml:space="preserve">Taskinha Dos Sabores
</t>
  </si>
  <si>
    <t xml:space="preserve">Churrascaria Narcadonoé
</t>
  </si>
  <si>
    <t xml:space="preserve">O Regional
</t>
  </si>
  <si>
    <t xml:space="preserve">Sabores de Sintra
</t>
  </si>
  <si>
    <t xml:space="preserve">Restaurante O Nosso Cantinho
</t>
  </si>
  <si>
    <t xml:space="preserve">Estação Menina Bonita
</t>
  </si>
  <si>
    <t xml:space="preserve">Go a Lisboa
</t>
  </si>
  <si>
    <t xml:space="preserve">Restaurante Varanda Azul
</t>
  </si>
  <si>
    <t xml:space="preserve">Quinta do Cortador
</t>
  </si>
  <si>
    <t xml:space="preserve">Quinta Do Páteo
</t>
  </si>
  <si>
    <t xml:space="preserve">Quinta Rainha de Belas
</t>
  </si>
  <si>
    <t xml:space="preserve">Restaurante Mercearia by Vitor Palmilha
</t>
  </si>
  <si>
    <t xml:space="preserve">Verso Rooftop
</t>
  </si>
  <si>
    <t xml:space="preserve">Estrela do Mar
</t>
  </si>
  <si>
    <t>Bellalisa</t>
  </si>
  <si>
    <t xml:space="preserve">Faz Figura
</t>
  </si>
  <si>
    <t xml:space="preserve">Casa da Dizima
</t>
  </si>
  <si>
    <t xml:space="preserve">Jupiter Lisboa Hotel
</t>
  </si>
  <si>
    <t xml:space="preserve">Hotel Vila Galé Ericeira
</t>
  </si>
  <si>
    <t xml:space="preserve">Varanda de Lisboa Restaurante
</t>
  </si>
  <si>
    <t xml:space="preserve">Torre Mar Restaurante
</t>
  </si>
  <si>
    <t xml:space="preserve">Cerrado da Loba
</t>
  </si>
  <si>
    <t xml:space="preserve">Casa no Campo by Belas Clube de Campo
</t>
  </si>
  <si>
    <t xml:space="preserve">Quinta do Almirante
</t>
  </si>
  <si>
    <t xml:space="preserve">Quinta Vitor Cerqueira
</t>
  </si>
  <si>
    <t xml:space="preserve">Quinta do Pardal
</t>
  </si>
  <si>
    <t xml:space="preserve">Unique Stays®- charm hotels
</t>
  </si>
  <si>
    <t xml:space="preserve">Altis Avenida Hotel
</t>
  </si>
  <si>
    <t xml:space="preserve">Lisbon Club
</t>
  </si>
  <si>
    <t xml:space="preserve">Usina Legado
</t>
  </si>
  <si>
    <t xml:space="preserve">Clara Jardim Restaurante
</t>
  </si>
  <si>
    <t>Trindade</t>
  </si>
  <si>
    <t xml:space="preserve">Restaurante Salero
</t>
  </si>
  <si>
    <t xml:space="preserve">Hotel Vila Galé Sintra
</t>
  </si>
  <si>
    <t xml:space="preserve">Palácio do Visconde - The Coffee Experience
</t>
  </si>
  <si>
    <t xml:space="preserve">Quinta de Monfalim
</t>
  </si>
  <si>
    <t xml:space="preserve">Bérrio Restaurante e Terrace
</t>
  </si>
  <si>
    <t xml:space="preserve">Quinta dos Pizões
</t>
  </si>
  <si>
    <t xml:space="preserve">Quinta da Tareca - Grupo Vitor Cerqueira
</t>
  </si>
  <si>
    <t xml:space="preserve">Quinta da Tojeira - Petals Avenue Eventos
</t>
  </si>
  <si>
    <t xml:space="preserve">Quinta do Camejo
</t>
  </si>
  <si>
    <t xml:space="preserve">Restaurante Can The Can
</t>
  </si>
  <si>
    <t xml:space="preserve">Quinta da Fonte Eventos
</t>
  </si>
  <si>
    <t xml:space="preserve">Quinta O Refúgio
</t>
  </si>
  <si>
    <t xml:space="preserve">Páteo da Vinha
</t>
  </si>
  <si>
    <t xml:space="preserve">Quinta da Paz
</t>
  </si>
  <si>
    <t xml:space="preserve">Quinta do Telhadouro
</t>
  </si>
  <si>
    <t xml:space="preserve">Terra Lodge
</t>
  </si>
  <si>
    <t xml:space="preserve">Vale de Fornos
</t>
  </si>
  <si>
    <t xml:space="preserve">You and the Sea
</t>
  </si>
  <si>
    <t xml:space="preserve">Hotel Vila Galé Collection Palácio dos Arcos
</t>
  </si>
  <si>
    <t xml:space="preserve">Healthy Qb
</t>
  </si>
  <si>
    <t xml:space="preserve">Mar Ao Largo
</t>
  </si>
  <si>
    <t xml:space="preserve">Quinta da Taipa
</t>
  </si>
  <si>
    <t xml:space="preserve">Pinheiros Mansos
</t>
  </si>
  <si>
    <t xml:space="preserve">Quinta Pinhal das Confreirias
</t>
  </si>
  <si>
    <t xml:space="preserve">Quinta do Encanto
</t>
  </si>
  <si>
    <t xml:space="preserve">Quinta da Praia
</t>
  </si>
  <si>
    <t xml:space="preserve">Quinta Santa Maria
</t>
  </si>
  <si>
    <t xml:space="preserve">Quinta do Mirante
</t>
  </si>
  <si>
    <t xml:space="preserve">Quinta dos Cucos
</t>
  </si>
  <si>
    <t xml:space="preserve">Plaza Ribeiro Telles
</t>
  </si>
  <si>
    <t xml:space="preserve">Hotel Real Oeiras
</t>
  </si>
  <si>
    <t>Tendinha</t>
  </si>
  <si>
    <t xml:space="preserve">Restaurante O Padeiro
</t>
  </si>
  <si>
    <t xml:space="preserve">Quinta do Bretão
</t>
  </si>
  <si>
    <t xml:space="preserve">Hotel Dolce CampoReal
</t>
  </si>
  <si>
    <t xml:space="preserve">Quinta da Caloura
</t>
  </si>
  <si>
    <t xml:space="preserve">Centro de Eventos Porto Da Luz
</t>
  </si>
  <si>
    <t xml:space="preserve">Quinta da Estrela
</t>
  </si>
  <si>
    <t xml:space="preserve">Quinta Azenha de Cima
</t>
  </si>
  <si>
    <t xml:space="preserve">Maria João Eventos - Quinta do Cerrado
</t>
  </si>
  <si>
    <t>Quinta das Riscas</t>
  </si>
  <si>
    <t xml:space="preserve">Besteiros
</t>
  </si>
  <si>
    <t xml:space="preserve">Noiva do Mar
</t>
  </si>
  <si>
    <t xml:space="preserve">Lawrence's Hotel
</t>
  </si>
  <si>
    <t xml:space="preserve">Sacramento Chiado
</t>
  </si>
  <si>
    <t xml:space="preserve">Quinta O Profeta
</t>
  </si>
  <si>
    <t xml:space="preserve">Casa da Nossa Senhora da Paciência
</t>
  </si>
  <si>
    <t xml:space="preserve">Quinta de D. Carlos
</t>
  </si>
  <si>
    <t xml:space="preserve">Vale da Carva
</t>
  </si>
  <si>
    <t xml:space="preserve">Quinta dos Girassóis
</t>
  </si>
  <si>
    <t xml:space="preserve">Quinta Nossa Senhora Auxiliadora
</t>
  </si>
  <si>
    <t xml:space="preserve">Casa da Ribeira
</t>
  </si>
  <si>
    <t xml:space="preserve">Quinta do Serpa - Arte de Bem Servir
</t>
  </si>
  <si>
    <t xml:space="preserve">Aba da Serra
</t>
  </si>
  <si>
    <t xml:space="preserve">Monte da Loba
</t>
  </si>
  <si>
    <t xml:space="preserve">Quinta Mourada
</t>
  </si>
  <si>
    <t xml:space="preserve">Quinta Vale da Villa
</t>
  </si>
  <si>
    <t xml:space="preserve">Hotel Riviera
</t>
  </si>
  <si>
    <t xml:space="preserve">Hotel Inglaterra
</t>
  </si>
  <si>
    <t xml:space="preserve">Hotel Real Palácio
</t>
  </si>
  <si>
    <t xml:space="preserve">Casa da Azenha
</t>
  </si>
  <si>
    <t xml:space="preserve">Quinta dos Lapiás
</t>
  </si>
  <si>
    <t xml:space="preserve">Quinta do Lumarinho
</t>
  </si>
  <si>
    <t>Quinta do Monte - Negrais</t>
  </si>
  <si>
    <t xml:space="preserve">Henriques &amp; Neto - Quinta da Luz
</t>
  </si>
  <si>
    <t xml:space="preserve">Hotel Vila d'Óbidos
</t>
  </si>
  <si>
    <t xml:space="preserve">Connecting Eventos – Quinta da Cascata
</t>
  </si>
  <si>
    <t xml:space="preserve">Quinta do Castro
</t>
  </si>
  <si>
    <t xml:space="preserve">Quinta das Cruzadas
</t>
  </si>
  <si>
    <t xml:space="preserve">Quinta do Serpa - Auxiliadora Eventos
</t>
  </si>
  <si>
    <t xml:space="preserve">Os Severianos
</t>
  </si>
  <si>
    <t xml:space="preserve">Quinta do Boiro
</t>
  </si>
  <si>
    <t xml:space="preserve">Quinta da Carnota
</t>
  </si>
  <si>
    <t xml:space="preserve">Quinta do Vale
</t>
  </si>
  <si>
    <t xml:space="preserve">Quinta da Serra
</t>
  </si>
  <si>
    <t xml:space="preserve">Malhoa Sana Hotels
</t>
  </si>
  <si>
    <t xml:space="preserve">Viveiros do Atlântico
</t>
  </si>
  <si>
    <t xml:space="preserve">Quinta das Rosas
</t>
  </si>
  <si>
    <t xml:space="preserve">Quinta dos Rouxinóis - RGN Eventos
</t>
  </si>
  <si>
    <t xml:space="preserve">Quinta dos Chainhos
</t>
  </si>
  <si>
    <t xml:space="preserve">Quinta dos Anjos
</t>
  </si>
  <si>
    <t xml:space="preserve">Lagoas Park Hotel
</t>
  </si>
  <si>
    <t xml:space="preserve">Quinta Cascata dos Sonhos - Connecting Eventos
</t>
  </si>
  <si>
    <t xml:space="preserve">Quinta do Palhas
</t>
  </si>
  <si>
    <t xml:space="preserve">Quinta do Gradil
</t>
  </si>
  <si>
    <t xml:space="preserve">Grupo Grilo - Quinta do Grilo
</t>
  </si>
  <si>
    <t xml:space="preserve">Grupo Grilo - Quinta das Palmeiras
</t>
  </si>
  <si>
    <t xml:space="preserve">Quinta da Murta
</t>
  </si>
  <si>
    <t xml:space="preserve">Quinta de Cima
</t>
  </si>
  <si>
    <t xml:space="preserve">Tivoli Oriente
</t>
  </si>
  <si>
    <t xml:space="preserve">Quinta dos Jarros by Premium Eventos
</t>
  </si>
  <si>
    <t xml:space="preserve">Quinta do Barco by Dário Cabeça
</t>
  </si>
  <si>
    <t xml:space="preserve">Quinta do Alto
</t>
  </si>
  <si>
    <t>Quinta Nossa Senhora da Serra</t>
  </si>
  <si>
    <t xml:space="preserve">Quinta Pinhal dos Frades - RGN Eventos
</t>
  </si>
  <si>
    <t xml:space="preserve">Quinta dos Plátanos - RGN Eventos
</t>
  </si>
  <si>
    <t xml:space="preserve">Grupo Fonte do Paraíso - Quinta Mil e Uma Noites
</t>
  </si>
  <si>
    <t xml:space="preserve">Grupo Fonte do Paraíso - Quinta Fonte do Paraíso
</t>
  </si>
  <si>
    <t xml:space="preserve">Quinta da Murnalha
</t>
  </si>
  <si>
    <t xml:space="preserve">Quinta do Convento da Visitação - Páteo Velho
</t>
  </si>
  <si>
    <t xml:space="preserve">Quinta dos Plátanos
</t>
  </si>
  <si>
    <t xml:space="preserve">Quinta da Pimenteira by Imppacto
</t>
  </si>
  <si>
    <t xml:space="preserve">Hotel do Chiado
</t>
  </si>
  <si>
    <t xml:space="preserve">Bafureira Sunset Beach Club
</t>
  </si>
  <si>
    <t>Quinta do Frade</t>
  </si>
  <si>
    <t xml:space="preserve">Quinta dos Lobos
</t>
  </si>
  <si>
    <t xml:space="preserve">Quinta de São Gonçalo
</t>
  </si>
  <si>
    <t xml:space="preserve">InterContinental Lisbon
</t>
  </si>
  <si>
    <t xml:space="preserve">Lisbon Marriott Hotel
</t>
  </si>
  <si>
    <t xml:space="preserve">Turim Boulevard Hotel
</t>
  </si>
  <si>
    <t xml:space="preserve">Quinta de Monsanto - Food Story
</t>
  </si>
  <si>
    <t xml:space="preserve">Herdade da Emberiza
</t>
  </si>
  <si>
    <t xml:space="preserve">Tivoli Lisboa
</t>
  </si>
  <si>
    <t xml:space="preserve">Quinta Marques da Serra
</t>
  </si>
  <si>
    <t xml:space="preserve">Quinta do Coração
</t>
  </si>
  <si>
    <t xml:space="preserve">Quinta da Barreta
</t>
  </si>
  <si>
    <t>Quinta do Sanguinhal</t>
  </si>
  <si>
    <t xml:space="preserve">Quinta Casa da Adega
</t>
  </si>
  <si>
    <t xml:space="preserve">Quinta dos Gafanhotos
</t>
  </si>
  <si>
    <t xml:space="preserve">Quinta Senhora da Oliveira - Páteo Velho
</t>
  </si>
  <si>
    <t xml:space="preserve">Hotel Albatroz
</t>
  </si>
  <si>
    <t xml:space="preserve">Villa Atlântico by InterContinental Cascais Estoril
</t>
  </si>
  <si>
    <t xml:space="preserve">Verride Palácio de Santa Catarina
</t>
  </si>
  <si>
    <t xml:space="preserve">Hotel The Oitavos
</t>
  </si>
  <si>
    <t xml:space="preserve">Altis Belém Hotel &amp; Spa
</t>
  </si>
  <si>
    <t xml:space="preserve">Monte Mar Lisboa
</t>
  </si>
  <si>
    <t xml:space="preserve">Quinta do Casal Novo
</t>
  </si>
  <si>
    <t xml:space="preserve">Solar de Pancas
</t>
  </si>
  <si>
    <t xml:space="preserve">Casa de Reguengos
</t>
  </si>
  <si>
    <t>Corinthia Hotel Lisbon</t>
  </si>
  <si>
    <t xml:space="preserve">Masa Hotel Campo Grande
</t>
  </si>
  <si>
    <t>Grande Real Villa Itália Hotel &amp; Spa</t>
  </si>
  <si>
    <t xml:space="preserve">Penha Longa Hotel
</t>
  </si>
  <si>
    <t xml:space="preserve">Cerrado das Fontainhas
</t>
  </si>
  <si>
    <t xml:space="preserve">Quinta do Rocio
</t>
  </si>
  <si>
    <t>Quinta da Bichinha</t>
  </si>
  <si>
    <t>Charm Nature Boutique Hotel</t>
  </si>
  <si>
    <t xml:space="preserve">Senhora da Guia
</t>
  </si>
  <si>
    <t xml:space="preserve">Onyria Quinta da Marinha Hotel
</t>
  </si>
  <si>
    <t xml:space="preserve">Condes Valadares
</t>
  </si>
  <si>
    <t>EPIC Sana Lisboa</t>
  </si>
  <si>
    <t xml:space="preserve">Epic Sana Marquês Hotel
</t>
  </si>
  <si>
    <t xml:space="preserve">Vandelli Botanical Garden
</t>
  </si>
  <si>
    <t xml:space="preserve">Quinta dos Machados
</t>
  </si>
  <si>
    <t xml:space="preserve">Andaz Lisbon by Hyatt
</t>
  </si>
  <si>
    <t xml:space="preserve">Farol Design Hotel
</t>
  </si>
  <si>
    <t>Hotel Fortaleza do Guincho</t>
  </si>
  <si>
    <t xml:space="preserve">Quinta do Roseiral
</t>
  </si>
  <si>
    <t xml:space="preserve">Palácio Ludovice Wine Experience Hotel
</t>
  </si>
  <si>
    <t xml:space="preserve">SUD Lisboa Hall
</t>
  </si>
  <si>
    <t>Myriad By Sana</t>
  </si>
  <si>
    <t xml:space="preserve">Hotel Palácio Estoril
</t>
  </si>
  <si>
    <t>Valverde Sintra Palácio de Seteais</t>
  </si>
  <si>
    <t xml:space="preserve">Quinta de Sant'Ana
</t>
  </si>
  <si>
    <t xml:space="preserve">The One Palácio da Anunciada
</t>
  </si>
  <si>
    <t xml:space="preserve">Quinta do Gato Preto
</t>
  </si>
  <si>
    <t xml:space="preserve">Tapada das Safras
</t>
  </si>
  <si>
    <t xml:space="preserve">Vila Galé Collection Elvas
</t>
  </si>
  <si>
    <t>Varchotel</t>
  </si>
  <si>
    <t xml:space="preserve">Monte Filipe Hotel &amp; Spa
</t>
  </si>
  <si>
    <t xml:space="preserve">Restaurante A Bolota
</t>
  </si>
  <si>
    <t xml:space="preserve">Quinta das Argamassas
</t>
  </si>
  <si>
    <t xml:space="preserve">Montes de Argila
</t>
  </si>
  <si>
    <t>Quinta dos Lagartos</t>
  </si>
  <si>
    <t xml:space="preserve">Casa da Urra
</t>
  </si>
  <si>
    <t xml:space="preserve">Hotel São João de Deus
</t>
  </si>
  <si>
    <t>Gavião Nature Village</t>
  </si>
  <si>
    <t>Quinta da Pureza</t>
  </si>
  <si>
    <t xml:space="preserve">Quinta dos Pavões
</t>
  </si>
  <si>
    <t xml:space="preserve">Monte da Graça
</t>
  </si>
  <si>
    <t xml:space="preserve">Quinta da Tapada
</t>
  </si>
  <si>
    <t xml:space="preserve">Taberna Santo António
</t>
  </si>
  <si>
    <t>Quinta de Cedovezas</t>
  </si>
  <si>
    <t xml:space="preserve">Rei da Picanha Restaurante &amp; Eventos
</t>
  </si>
  <si>
    <t xml:space="preserve">BH
</t>
  </si>
  <si>
    <t xml:space="preserve">Élebê
</t>
  </si>
  <si>
    <t xml:space="preserve">Axis Porto Business &amp; Spa Hotel
</t>
  </si>
  <si>
    <t xml:space="preserve">Vincci Porto
</t>
  </si>
  <si>
    <t xml:space="preserve">Enseada 1968
</t>
  </si>
  <si>
    <t xml:space="preserve">O Comercial
</t>
  </si>
  <si>
    <t xml:space="preserve">Bolinhos de Amor
</t>
  </si>
  <si>
    <t xml:space="preserve">Olival da Cabana - Country Life
</t>
  </si>
  <si>
    <t xml:space="preserve">Quinta dos Limoeiros
</t>
  </si>
  <si>
    <t xml:space="preserve">Hotel Carris Porto Ribeira
</t>
  </si>
  <si>
    <t xml:space="preserve">Restaurante Casa da Música
</t>
  </si>
  <si>
    <t xml:space="preserve">D'gostar Póvoa de Varzim
</t>
  </si>
  <si>
    <t xml:space="preserve">Soundwich
</t>
  </si>
  <si>
    <t xml:space="preserve">Four Points by Sheraton Matosinhos
</t>
  </si>
  <si>
    <t xml:space="preserve">Quinta do Liboso
</t>
  </si>
  <si>
    <t xml:space="preserve">Quinta das Raparigas
</t>
  </si>
  <si>
    <t xml:space="preserve">Hotel Axis Vermar
</t>
  </si>
  <si>
    <t xml:space="preserve">Restaurante Caetano
</t>
  </si>
  <si>
    <t xml:space="preserve">Jangal Gastro Bar
</t>
  </si>
  <si>
    <t xml:space="preserve">Quinta Salgueirinhos
</t>
  </si>
  <si>
    <t xml:space="preserve">Quinta das Silveiras
</t>
  </si>
  <si>
    <t xml:space="preserve">Casa de Sam Thiago
</t>
  </si>
  <si>
    <t xml:space="preserve">Casa dos Arcos São Mamede
</t>
  </si>
  <si>
    <t xml:space="preserve">Casa de Vilacetinho
</t>
  </si>
  <si>
    <t xml:space="preserve">Quinta de Oleiros - 2ToMoments
</t>
  </si>
  <si>
    <t xml:space="preserve">Garfo Torto - Restaurante Bar
</t>
  </si>
  <si>
    <t xml:space="preserve">Casa do Rio - Gondomar
</t>
  </si>
  <si>
    <t xml:space="preserve">Fortaleza da Póvoa de Varzim
</t>
  </si>
  <si>
    <t xml:space="preserve">Casa de Recarem
</t>
  </si>
  <si>
    <t xml:space="preserve">Quinta das Hortas
</t>
  </si>
  <si>
    <t xml:space="preserve">Passal Country House
</t>
  </si>
  <si>
    <t xml:space="preserve">Evonor Eventos
</t>
  </si>
  <si>
    <t xml:space="preserve">Palácio Ateneu Comercial - Lowe
</t>
  </si>
  <si>
    <t xml:space="preserve">Casa Tonel
</t>
  </si>
  <si>
    <t xml:space="preserve">Quinta dos Serras
</t>
  </si>
  <si>
    <t xml:space="preserve">Casa de Agrêllo
</t>
  </si>
  <si>
    <t xml:space="preserve">Casa Miguel
</t>
  </si>
  <si>
    <t xml:space="preserve">Aquario Eventos
</t>
  </si>
  <si>
    <t xml:space="preserve">Castelo Santa Catarina
</t>
  </si>
  <si>
    <t xml:space="preserve">Penafiel Park Hotel
</t>
  </si>
  <si>
    <t xml:space="preserve">Restaurante Queda d´Água
</t>
  </si>
  <si>
    <t xml:space="preserve">Cacau Wine Terrace
</t>
  </si>
  <si>
    <t xml:space="preserve">Quinta da Boucinha
</t>
  </si>
  <si>
    <t xml:space="preserve">Quinta da Salete
</t>
  </si>
  <si>
    <t xml:space="preserve">Casa do Rio
</t>
  </si>
  <si>
    <t xml:space="preserve">Quinta da Toca
</t>
  </si>
  <si>
    <t xml:space="preserve">Restaurante Tirsense
</t>
  </si>
  <si>
    <t xml:space="preserve">Casa de Pedra
</t>
  </si>
  <si>
    <t xml:space="preserve">Quinta Loureiro Eventos
</t>
  </si>
  <si>
    <t xml:space="preserve">Quinta dos Souzas
</t>
  </si>
  <si>
    <t xml:space="preserve">Quinta do Burguês - Solar do Burguês
</t>
  </si>
  <si>
    <t>Quinta dos Pinheirais</t>
  </si>
  <si>
    <t xml:space="preserve">Casa dos Cisnes
</t>
  </si>
  <si>
    <t xml:space="preserve">Tamaca Nature
</t>
  </si>
  <si>
    <t xml:space="preserve">Bruval Eventos
</t>
  </si>
  <si>
    <t xml:space="preserve">Quinta da Casa do Pinheiro
</t>
  </si>
  <si>
    <t xml:space="preserve">Quinta de Vilarinho de Avioso
</t>
  </si>
  <si>
    <t xml:space="preserve">Quinta do Padrão - RGI
</t>
  </si>
  <si>
    <t xml:space="preserve">Casa Salgueiro
</t>
  </si>
  <si>
    <t xml:space="preserve">A Casa do Almocreve
</t>
  </si>
  <si>
    <t xml:space="preserve">Quinta da Longra
</t>
  </si>
  <si>
    <t xml:space="preserve">Aventuras no Prato
</t>
  </si>
  <si>
    <t xml:space="preserve">Casa dos Meus Avós
</t>
  </si>
  <si>
    <t xml:space="preserve">Casa da Eira de Tardariz
</t>
  </si>
  <si>
    <t xml:space="preserve">Casa da Granja
</t>
  </si>
  <si>
    <t xml:space="preserve">Villa C Boutique Hotel
</t>
  </si>
  <si>
    <t xml:space="preserve">Paredes Design Hotel
</t>
  </si>
  <si>
    <t xml:space="preserve">Restaurante Montanha Azul
</t>
  </si>
  <si>
    <t xml:space="preserve">Velvet
</t>
  </si>
  <si>
    <t>Aloha</t>
  </si>
  <si>
    <t xml:space="preserve">Quinta da Bandeirinha
</t>
  </si>
  <si>
    <t xml:space="preserve">Quinta do Avesso
</t>
  </si>
  <si>
    <t xml:space="preserve">Quinta do Sol
</t>
  </si>
  <si>
    <t xml:space="preserve">Quinta das Lages
</t>
  </si>
  <si>
    <t xml:space="preserve">Casa Maiato
</t>
  </si>
  <si>
    <t xml:space="preserve">Hotel Quinta Royal
</t>
  </si>
  <si>
    <t xml:space="preserve">Quinta da Ferreirinha - Solar do Burguês
</t>
  </si>
  <si>
    <t xml:space="preserve">Quinta de Sonhos
</t>
  </si>
  <si>
    <t xml:space="preserve">Quinta da Telheira Douro Wine
</t>
  </si>
  <si>
    <t xml:space="preserve">Quinta da BoaVista
</t>
  </si>
  <si>
    <t xml:space="preserve">Santana Hotel &amp; Spa
</t>
  </si>
  <si>
    <t xml:space="preserve">Casa do Souto
</t>
  </si>
  <si>
    <t xml:space="preserve">Casa Maçães
</t>
  </si>
  <si>
    <t xml:space="preserve">Quinta de Palmazões
</t>
  </si>
  <si>
    <t xml:space="preserve">Quinta das Susandas
</t>
  </si>
  <si>
    <t xml:space="preserve">Quinta Santa Cruz
</t>
  </si>
  <si>
    <t xml:space="preserve">Quinta do Soutelo
</t>
  </si>
  <si>
    <t xml:space="preserve">Quinta do Colégio
</t>
  </si>
  <si>
    <t xml:space="preserve">Quinta D. José
</t>
  </si>
  <si>
    <t xml:space="preserve">Quinta da Maria
</t>
  </si>
  <si>
    <t xml:space="preserve">Quinta Dom Nunes
</t>
  </si>
  <si>
    <t xml:space="preserve">Quinta das Essências
</t>
  </si>
  <si>
    <t xml:space="preserve">Casa Valxisto
</t>
  </si>
  <si>
    <t xml:space="preserve">Quinta Rio Este
</t>
  </si>
  <si>
    <t xml:space="preserve">Quinta de Santo Antonio
</t>
  </si>
  <si>
    <t xml:space="preserve">Casa dos Laceiras
</t>
  </si>
  <si>
    <t xml:space="preserve">Restaurante da Fundação
</t>
  </si>
  <si>
    <t xml:space="preserve">Quinta da Mota
</t>
  </si>
  <si>
    <t xml:space="preserve">Quinta do Castelo by Quintas &amp; Catering
</t>
  </si>
  <si>
    <t xml:space="preserve">Crowne Plaza Porto
</t>
  </si>
  <si>
    <t xml:space="preserve">Quinta LR Gardens
</t>
  </si>
  <si>
    <t xml:space="preserve">Quinta da Azenha de Baixo
</t>
  </si>
  <si>
    <t xml:space="preserve">Quinta do Alferes de Crasto
</t>
  </si>
  <si>
    <t xml:space="preserve">Quinta Cerrado da Portela
</t>
  </si>
  <si>
    <t xml:space="preserve">Quinta Paço Eventos
</t>
  </si>
  <si>
    <t xml:space="preserve">Quinta do Arco
</t>
  </si>
  <si>
    <t xml:space="preserve">Quinta Redolho de Cima
</t>
  </si>
  <si>
    <t xml:space="preserve">Palacete Dona Maria
</t>
  </si>
  <si>
    <t xml:space="preserve">Casa de Anciães
</t>
  </si>
  <si>
    <t xml:space="preserve">Quinta Pérola do Rio
</t>
  </si>
  <si>
    <t xml:space="preserve">Quinta dos Afonsos
</t>
  </si>
  <si>
    <t xml:space="preserve">O Legado - Quinta de eventos
</t>
  </si>
  <si>
    <t xml:space="preserve">Hospes Infante Sagres
</t>
  </si>
  <si>
    <t xml:space="preserve">Fuzelhas
</t>
  </si>
  <si>
    <t xml:space="preserve">Quinta Amadeus
</t>
  </si>
  <si>
    <t xml:space="preserve">Sheraton Porto Hotel &amp; Spa
</t>
  </si>
  <si>
    <t xml:space="preserve">Quinta de Paredes
</t>
  </si>
  <si>
    <t xml:space="preserve">Set Lounge Beach Weddings
</t>
  </si>
  <si>
    <t xml:space="preserve">Quinta da Morgadinha
</t>
  </si>
  <si>
    <t xml:space="preserve">Quinta dos Choupos - Choupal dos Melros
</t>
  </si>
  <si>
    <t xml:space="preserve">Quinta de Cepêda
</t>
  </si>
  <si>
    <t xml:space="preserve">Quinta do Gestal by Quintas &amp; Catering
</t>
  </si>
  <si>
    <t xml:space="preserve">Quinta da Avó
</t>
  </si>
  <si>
    <t xml:space="preserve">Quinta Geraldino
</t>
  </si>
  <si>
    <t xml:space="preserve">Quinta Pedras Quebradas
</t>
  </si>
  <si>
    <t xml:space="preserve">Quinta Ruínas do Cerrado
</t>
  </si>
  <si>
    <t xml:space="preserve">Montebello Wedding Events
</t>
  </si>
  <si>
    <t xml:space="preserve">Quinta da Felicidade - Locus Amoenus
</t>
  </si>
  <si>
    <t xml:space="preserve">All Got
</t>
  </si>
  <si>
    <t xml:space="preserve">Quinta Espírito Santo
</t>
  </si>
  <si>
    <t xml:space="preserve">Quinta da Corredoura
</t>
  </si>
  <si>
    <t xml:space="preserve">Quinta Santo Adrião
</t>
  </si>
  <si>
    <t xml:space="preserve">Palacete do Galo
</t>
  </si>
  <si>
    <t xml:space="preserve">Escondidinho Terrace
</t>
  </si>
  <si>
    <t xml:space="preserve">Quinta do Pinheiro
</t>
  </si>
  <si>
    <t xml:space="preserve">Quinta do Barão
</t>
  </si>
  <si>
    <t>Indulgent</t>
  </si>
  <si>
    <t xml:space="preserve">Quinta São Miguel de Arcos
</t>
  </si>
  <si>
    <t xml:space="preserve">Quinta do Casal
</t>
  </si>
  <si>
    <t xml:space="preserve">Quinta da Casa Grande
</t>
  </si>
  <si>
    <t xml:space="preserve">Quinta dos Amores
</t>
  </si>
  <si>
    <t xml:space="preserve">Forte de S. João - Lowe
</t>
  </si>
  <si>
    <t xml:space="preserve">Hotel Solverde Spa &amp; Wellness Center
</t>
  </si>
  <si>
    <t xml:space="preserve">Restaurante Quinta do Fojo
</t>
  </si>
  <si>
    <t xml:space="preserve">Eventos Alto do Crasto
</t>
  </si>
  <si>
    <t>Solar de Sabariz</t>
  </si>
  <si>
    <t xml:space="preserve">Quinta do Vieira
</t>
  </si>
  <si>
    <t xml:space="preserve">Casarão
</t>
  </si>
  <si>
    <t xml:space="preserve">Casa dos Arcos Boavista
</t>
  </si>
  <si>
    <t xml:space="preserve">Quinta do Conde do Paiço
</t>
  </si>
  <si>
    <t xml:space="preserve">Quinta da Igreja
</t>
  </si>
  <si>
    <t xml:space="preserve">Quinta do Mosteirô
</t>
  </si>
  <si>
    <t xml:space="preserve">Beach Wedding - Lowe
</t>
  </si>
  <si>
    <t xml:space="preserve">Praia Da Luz
</t>
  </si>
  <si>
    <t xml:space="preserve">Quinta da Azenha
</t>
  </si>
  <si>
    <t xml:space="preserve">Golfe de Amarante
</t>
  </si>
  <si>
    <t xml:space="preserve">Casa de Montezelo
</t>
  </si>
  <si>
    <t xml:space="preserve">Casa de Vila Verde
</t>
  </si>
  <si>
    <t xml:space="preserve">Quinta da Eira
</t>
  </si>
  <si>
    <t xml:space="preserve">Quinta de Segade
</t>
  </si>
  <si>
    <t xml:space="preserve">Bosque Eventos
</t>
  </si>
  <si>
    <t xml:space="preserve">The Astoria - Histórias com Alma
</t>
  </si>
  <si>
    <t xml:space="preserve">Hotel Vincci Ponte de Ferro
</t>
  </si>
  <si>
    <t xml:space="preserve">Renaissance Porto Lapa Hotel
</t>
  </si>
  <si>
    <t xml:space="preserve">Neya Porto Hotel
</t>
  </si>
  <si>
    <t xml:space="preserve">Boeira Garden Hotel
</t>
  </si>
  <si>
    <t xml:space="preserve">Vale da Corga - Eventos
</t>
  </si>
  <si>
    <t xml:space="preserve">Casa da Orta
</t>
  </si>
  <si>
    <t xml:space="preserve">Palacete A Familiar
</t>
  </si>
  <si>
    <t xml:space="preserve">Mosteiro São Bento da Vitória
</t>
  </si>
  <si>
    <t xml:space="preserve">Casa de Quintã
</t>
  </si>
  <si>
    <t xml:space="preserve">Quinta da Pedra Salgada
</t>
  </si>
  <si>
    <t xml:space="preserve">Casa da Calçada
</t>
  </si>
  <si>
    <t xml:space="preserve">Senhora do Penedo Wellness Gardens
</t>
  </si>
  <si>
    <t xml:space="preserve">Palacete Camarinha by Premier Service
</t>
  </si>
  <si>
    <t xml:space="preserve">Vinum Restaurant &amp; Wine Bar
</t>
  </si>
  <si>
    <t xml:space="preserve">Cordeiro Barros Farm House
</t>
  </si>
  <si>
    <t xml:space="preserve">Restaurante O Miradouro
</t>
  </si>
  <si>
    <t xml:space="preserve">São Lourenço by Trincanela
</t>
  </si>
  <si>
    <t xml:space="preserve">Restaurante Quinta do Parque Real
</t>
  </si>
  <si>
    <t>Bonito by Trincanela</t>
  </si>
  <si>
    <t xml:space="preserve">Restaurante Ribagolfe
</t>
  </si>
  <si>
    <t>Cais de Rio</t>
  </si>
  <si>
    <t xml:space="preserve">Herdade da Baracha
</t>
  </si>
  <si>
    <t>Quinta da Esperança</t>
  </si>
  <si>
    <t xml:space="preserve">Casas de São José
</t>
  </si>
  <si>
    <t xml:space="preserve">Quinta de Santa Bárbara By Heaven's Sleepy
</t>
  </si>
  <si>
    <t xml:space="preserve">Casa dos Arrábidos
</t>
  </si>
  <si>
    <t xml:space="preserve">Palhinhas Gold Restaurante
</t>
  </si>
  <si>
    <t xml:space="preserve">Quinta das Acácias
</t>
  </si>
  <si>
    <t xml:space="preserve">Lodge Restaurante
</t>
  </si>
  <si>
    <t xml:space="preserve">Inprovável
</t>
  </si>
  <si>
    <t xml:space="preserve">Segredos no Paladar Eventos
</t>
  </si>
  <si>
    <t xml:space="preserve">Jardim da Cascata Eventos
</t>
  </si>
  <si>
    <t xml:space="preserve">Quinta da Gracinda Mateus
</t>
  </si>
  <si>
    <t xml:space="preserve">Terra Chã Panorâmico
</t>
  </si>
  <si>
    <t xml:space="preserve">Quinta da Bolota
</t>
  </si>
  <si>
    <t xml:space="preserve">Santarém Hotel
</t>
  </si>
  <si>
    <t xml:space="preserve">Quinta da Fonte - Eventos
</t>
  </si>
  <si>
    <t xml:space="preserve">Quinta da Colina Verde
</t>
  </si>
  <si>
    <t xml:space="preserve">Quinta da Atela
</t>
  </si>
  <si>
    <t xml:space="preserve">Quinta das Sentieiras
</t>
  </si>
  <si>
    <t xml:space="preserve">Quinta do Escaroupim
</t>
  </si>
  <si>
    <t xml:space="preserve">Hotel Estalagem Santa Iria
</t>
  </si>
  <si>
    <t xml:space="preserve">Solar do Moinho
</t>
  </si>
  <si>
    <t xml:space="preserve">Quinta da Feteira
</t>
  </si>
  <si>
    <t xml:space="preserve">Quinta do Falcão
</t>
  </si>
  <si>
    <t xml:space="preserve">Quinta d'Oliveiras
</t>
  </si>
  <si>
    <t xml:space="preserve">Quinta do Talego
</t>
  </si>
  <si>
    <t xml:space="preserve">Quinta Guadalupe Eventos
</t>
  </si>
  <si>
    <t xml:space="preserve">Quinta do Casalinho Farto
</t>
  </si>
  <si>
    <t xml:space="preserve">Quinta do Castilho
</t>
  </si>
  <si>
    <t xml:space="preserve">Restaurante O Picadeiro
</t>
  </si>
  <si>
    <t xml:space="preserve">O Solar da Charneca
</t>
  </si>
  <si>
    <t xml:space="preserve">Alma Terra Hotel Boutique &amp; Spa
</t>
  </si>
  <si>
    <t xml:space="preserve">Agro Quinta de S.Gens
</t>
  </si>
  <si>
    <t xml:space="preserve">Quinta de Dom Nuno
</t>
  </si>
  <si>
    <t xml:space="preserve">Caçabrava
</t>
  </si>
  <si>
    <t xml:space="preserve">Quinta da Ramila
</t>
  </si>
  <si>
    <t xml:space="preserve">Casa da Avó Genoveva
</t>
  </si>
  <si>
    <t xml:space="preserve">Quinta das Carrascosas
</t>
  </si>
  <si>
    <t xml:space="preserve">A Tufeira
</t>
  </si>
  <si>
    <t xml:space="preserve">Quinta Nova
</t>
  </si>
  <si>
    <t xml:space="preserve">Luz Houses
</t>
  </si>
  <si>
    <t xml:space="preserve">Quinta Monteiro de Matos
</t>
  </si>
  <si>
    <t xml:space="preserve">Tasca do Bife
</t>
  </si>
  <si>
    <t>Quinta da Luz</t>
  </si>
  <si>
    <t xml:space="preserve">Mundet Factory
</t>
  </si>
  <si>
    <t xml:space="preserve">Restaurante Clube Capítulo
</t>
  </si>
  <si>
    <t xml:space="preserve">Santiago Maior
</t>
  </si>
  <si>
    <t xml:space="preserve">Quinta das Glicínias
</t>
  </si>
  <si>
    <t xml:space="preserve">Hotel dos Zimbros
</t>
  </si>
  <si>
    <t xml:space="preserve">Casa de Campo
</t>
  </si>
  <si>
    <t>Aqualuz Suite Hotel Apartamentos Tróia</t>
  </si>
  <si>
    <t xml:space="preserve">Santiago Hotel
</t>
  </si>
  <si>
    <t xml:space="preserve">Restaurante Dona Isilda
</t>
  </si>
  <si>
    <t xml:space="preserve">Hotel TRYP Montijo Parque
</t>
  </si>
  <si>
    <t xml:space="preserve">A Fragata
</t>
  </si>
  <si>
    <t xml:space="preserve">Quinta da Vitória
</t>
  </si>
  <si>
    <t>Spacegarden</t>
  </si>
  <si>
    <t>O Pavão - Eventos</t>
  </si>
  <si>
    <t xml:space="preserve">Monte Cabeço do Ouro
</t>
  </si>
  <si>
    <t xml:space="preserve">Montado Hotel &amp; Golf Resort
</t>
  </si>
  <si>
    <t xml:space="preserve">Inatel Caparica
</t>
  </si>
  <si>
    <t>O Zeca Restaurante Bar</t>
  </si>
  <si>
    <t xml:space="preserve">Lisboa à Vista
</t>
  </si>
  <si>
    <t xml:space="preserve">Quinta dos Sonhos
</t>
  </si>
  <si>
    <t xml:space="preserve">Quinta Moinho da Praia
</t>
  </si>
  <si>
    <t xml:space="preserve">Quinta do Branco - Eventos na margem sul
</t>
  </si>
  <si>
    <t xml:space="preserve">Solar dos Príncipes
</t>
  </si>
  <si>
    <t>Alfoz Eventos</t>
  </si>
  <si>
    <t xml:space="preserve">Areias da Telha
</t>
  </si>
  <si>
    <t xml:space="preserve">Manjar das Laranjeiras
</t>
  </si>
  <si>
    <t>Quinta Lagus Resort</t>
  </si>
  <si>
    <t>Quinta de São Braz</t>
  </si>
  <si>
    <t>Humus Farm</t>
  </si>
  <si>
    <t>Quintinha dos Noivos</t>
  </si>
  <si>
    <t>Quinta do Patrício</t>
  </si>
  <si>
    <t xml:space="preserve">Herdade de Algeruz by Sal Catering
</t>
  </si>
  <si>
    <t xml:space="preserve">Palácio D'El Carmen
</t>
  </si>
  <si>
    <t>Vila Park Nature &amp; Business Hotel</t>
  </si>
  <si>
    <t>TRYP Lisboa Caparica Mar</t>
  </si>
  <si>
    <t xml:space="preserve">Atira-te ao Rio
</t>
  </si>
  <si>
    <t>Lendária</t>
  </si>
  <si>
    <t>Quinta Fonte dos Trevos</t>
  </si>
  <si>
    <t xml:space="preserve">Espaço Fortuna Artes e Ofício by Flavors Eventos
</t>
  </si>
  <si>
    <t xml:space="preserve">Quinta de São Payo - Horas Felizes
</t>
  </si>
  <si>
    <t>Taverna o Bobo da Corte</t>
  </si>
  <si>
    <t xml:space="preserve">Quinta da Freira
</t>
  </si>
  <si>
    <t>Quinta Valenciana</t>
  </si>
  <si>
    <t xml:space="preserve">Quinta das Riscas
</t>
  </si>
  <si>
    <t>Quinta do Cantador</t>
  </si>
  <si>
    <t>Turim Club d'Azeitão</t>
  </si>
  <si>
    <t xml:space="preserve">Herdade do Moinho Novo
</t>
  </si>
  <si>
    <t xml:space="preserve">Casal do Frade
</t>
  </si>
  <si>
    <t>Crowne Plaza Caparica Lisbon</t>
  </si>
  <si>
    <t xml:space="preserve">Cabana do Pescador
</t>
  </si>
  <si>
    <t xml:space="preserve">Quinta da Regateira
</t>
  </si>
  <si>
    <t xml:space="preserve">Herdade do Monte Novo by Imppacto
</t>
  </si>
  <si>
    <t xml:space="preserve">Monte do Giestal
</t>
  </si>
  <si>
    <t xml:space="preserve">Quinta da Alegria Eventos
</t>
  </si>
  <si>
    <t xml:space="preserve">Quinta das Bispas
</t>
  </si>
  <si>
    <t xml:space="preserve">Restaurante Sal
</t>
  </si>
  <si>
    <t xml:space="preserve">Quinta Do Corvo
</t>
  </si>
  <si>
    <t xml:space="preserve">Quinta do David II
</t>
  </si>
  <si>
    <t xml:space="preserve">Villa Jardim
</t>
  </si>
  <si>
    <t xml:space="preserve">Adega Herdade da Comporta
</t>
  </si>
  <si>
    <t xml:space="preserve">Spatia Comporta
</t>
  </si>
  <si>
    <t xml:space="preserve">Rampa Beach Club
</t>
  </si>
  <si>
    <t xml:space="preserve">Cocobeach
</t>
  </si>
  <si>
    <t xml:space="preserve">Palácio dos Antónios
</t>
  </si>
  <si>
    <t xml:space="preserve">Quinta do Joinal
</t>
  </si>
  <si>
    <t xml:space="preserve">Quinta do Nevada III
</t>
  </si>
  <si>
    <t xml:space="preserve">Quinta das Façalvas by Imppacto
</t>
  </si>
  <si>
    <t xml:space="preserve">Quinta do David
</t>
  </si>
  <si>
    <t xml:space="preserve">Quinta da Serralheira By Tempero de Alegria
</t>
  </si>
  <si>
    <t xml:space="preserve">Independente Comporta
</t>
  </si>
  <si>
    <t xml:space="preserve">Espaço Caiado
</t>
  </si>
  <si>
    <t xml:space="preserve">Acordeon
</t>
  </si>
  <si>
    <t xml:space="preserve">Pezinhos no Tejo
</t>
  </si>
  <si>
    <t xml:space="preserve">Casa do Sol
</t>
  </si>
  <si>
    <t xml:space="preserve">Monte da Casa do João
</t>
  </si>
  <si>
    <t xml:space="preserve">Sirius Park
</t>
  </si>
  <si>
    <t xml:space="preserve">Quinta Correia
</t>
  </si>
  <si>
    <t>Boega Hotel</t>
  </si>
  <si>
    <t xml:space="preserve">Convento de Cabanas
</t>
  </si>
  <si>
    <t xml:space="preserve">Quinta O Casão
</t>
  </si>
  <si>
    <t>Hotel Minho</t>
  </si>
  <si>
    <t>Arcos Hotel Nature &amp; Spa</t>
  </si>
  <si>
    <t xml:space="preserve">Restaurante Dom Júlio
</t>
  </si>
  <si>
    <t xml:space="preserve">Quinta do Fincão
</t>
  </si>
  <si>
    <t xml:space="preserve">Casa Rainha
</t>
  </si>
  <si>
    <t xml:space="preserve">Encosta do Crasto
</t>
  </si>
  <si>
    <t>Quinta da Malaposta - Boutique Hotel &amp; Eventos</t>
  </si>
  <si>
    <t xml:space="preserve">Quinta de São Francisco
</t>
  </si>
  <si>
    <t>Quinta do Ribeiro</t>
  </si>
  <si>
    <t>Quinta Santo André</t>
  </si>
  <si>
    <t xml:space="preserve">Quinta da Presa
</t>
  </si>
  <si>
    <t>Quinta do Castanheira</t>
  </si>
  <si>
    <t>Quinta do Amendo</t>
  </si>
  <si>
    <t>Colina do Romão</t>
  </si>
  <si>
    <t>Casa de São Sebastião</t>
  </si>
  <si>
    <t>Quinta do Cruzeiro</t>
  </si>
  <si>
    <t xml:space="preserve">Quinta São Bento
</t>
  </si>
  <si>
    <t xml:space="preserve">Solar de Merufe
</t>
  </si>
  <si>
    <t>Quinta do Carvalho</t>
  </si>
  <si>
    <t>Sant' Ana Eventos</t>
  </si>
  <si>
    <t xml:space="preserve">Hotel Cotto do Gatto
</t>
  </si>
  <si>
    <t xml:space="preserve">Ribeira Collection Hotel by Piamonte Hotels
</t>
  </si>
  <si>
    <t>Quinta de Caslopo</t>
  </si>
  <si>
    <t xml:space="preserve">Casa Grande de Fontão - Lugar Eventos
</t>
  </si>
  <si>
    <t xml:space="preserve">Vinte-Quinta da Boavista
</t>
  </si>
  <si>
    <t>Quinta da Pia</t>
  </si>
  <si>
    <t xml:space="preserve">Convento de Sanpayo
</t>
  </si>
  <si>
    <t xml:space="preserve">Paço de Calheiros
</t>
  </si>
  <si>
    <t xml:space="preserve">Forte de São Francisco Hotel Chaves
</t>
  </si>
  <si>
    <t xml:space="preserve">Cais da Villa
</t>
  </si>
  <si>
    <t xml:space="preserve">Solar do Barreiro
</t>
  </si>
  <si>
    <t xml:space="preserve">Hotel Casino Chaves
</t>
  </si>
  <si>
    <t xml:space="preserve">Residencial Borges
</t>
  </si>
  <si>
    <t xml:space="preserve">Quinta da Cumieira
</t>
  </si>
  <si>
    <t>Quinta da Salgueira</t>
  </si>
  <si>
    <t xml:space="preserve">Quinta da Mata
</t>
  </si>
  <si>
    <t xml:space="preserve">Quinta do Prado Novo
</t>
  </si>
  <si>
    <t xml:space="preserve">Hotel Régua Douro
</t>
  </si>
  <si>
    <t>Quinta da Falgueira</t>
  </si>
  <si>
    <t xml:space="preserve">A Companhia
</t>
  </si>
  <si>
    <t xml:space="preserve">Quinta da Seixeda
</t>
  </si>
  <si>
    <t xml:space="preserve">Solar Quinta da Portela
</t>
  </si>
  <si>
    <t xml:space="preserve">Quinta do Salgueiro
</t>
  </si>
  <si>
    <t xml:space="preserve">Hotel Douro Scala
</t>
  </si>
  <si>
    <t xml:space="preserve">Quinta Belas Vistas Hotel
</t>
  </si>
  <si>
    <t xml:space="preserve">Quinta do Portal
</t>
  </si>
  <si>
    <t xml:space="preserve">Casas Novas Countryside Hotel
</t>
  </si>
  <si>
    <t xml:space="preserve">Quinta do Príncipe
</t>
  </si>
  <si>
    <t xml:space="preserve">Boticas Hotel Art &amp; Spa
</t>
  </si>
  <si>
    <t xml:space="preserve">Quinta dos Românticos
</t>
  </si>
  <si>
    <t xml:space="preserve">Quinta de Fiães - Agroturismo
</t>
  </si>
  <si>
    <t xml:space="preserve">Quinta do Paço Hotel
</t>
  </si>
  <si>
    <t>Hotel Rio Beça</t>
  </si>
  <si>
    <t xml:space="preserve">Quinta do Castelo - Pedra Pura Resort
</t>
  </si>
  <si>
    <t xml:space="preserve">Casa da Sé - Hotel de Charme
</t>
  </si>
  <si>
    <t>Moinhos da Tia Antoninha</t>
  </si>
  <si>
    <t>Kualquer Koisa</t>
  </si>
  <si>
    <t>Quinta de Marzovelos</t>
  </si>
  <si>
    <t xml:space="preserve">Quinta Chão do Vintém
</t>
  </si>
  <si>
    <t xml:space="preserve">Hotel Senhora do Castelo
</t>
  </si>
  <si>
    <t xml:space="preserve">Hotel Severino José
</t>
  </si>
  <si>
    <t>Arpuro</t>
  </si>
  <si>
    <t xml:space="preserve">Hotel Durão
</t>
  </si>
  <si>
    <t xml:space="preserve">Hotel Ônix
</t>
  </si>
  <si>
    <t xml:space="preserve">Restaurante Douro Vista
</t>
  </si>
  <si>
    <t xml:space="preserve">Hotel Cruz da Mata
</t>
  </si>
  <si>
    <t xml:space="preserve">Douro Hotel Porto Antigo
</t>
  </si>
  <si>
    <t xml:space="preserve">Quinta do Lameiro
</t>
  </si>
  <si>
    <t xml:space="preserve">Hotel Urgeiriça
</t>
  </si>
  <si>
    <t xml:space="preserve">Montebelo Viseu Hotel &amp; Spa
</t>
  </si>
  <si>
    <t xml:space="preserve">Quinta do Barreiro
</t>
  </si>
  <si>
    <t xml:space="preserve">Quinta d'Arroteia
</t>
  </si>
  <si>
    <t xml:space="preserve">Vila Galé Douro Vineyards
</t>
  </si>
  <si>
    <t xml:space="preserve">Hotel Rural Convento N. Sra. do Carmo
</t>
  </si>
  <si>
    <t xml:space="preserve">Quinta dos Monteirinhos
</t>
  </si>
  <si>
    <t xml:space="preserve">Solar de Almeidinha
</t>
  </si>
  <si>
    <t xml:space="preserve">Quinta Fontinha da Pedra
</t>
  </si>
  <si>
    <t xml:space="preserve">Quinta do Recanto
</t>
  </si>
  <si>
    <t xml:space="preserve">Golden Tulip Caramulo Hotel &amp; Spa
</t>
  </si>
  <si>
    <t xml:space="preserve">Quinta da Capela
</t>
  </si>
  <si>
    <t xml:space="preserve">Quinta dos Magusteiros
</t>
  </si>
  <si>
    <t xml:space="preserve">Quinta do Medronheiro
</t>
  </si>
  <si>
    <t xml:space="preserve">Quinta do Cisne
</t>
  </si>
  <si>
    <t xml:space="preserve">Quinta dos Compadres
</t>
  </si>
  <si>
    <t xml:space="preserve">Quinta Afonso
</t>
  </si>
  <si>
    <t xml:space="preserve">Quinta do Terreiro
</t>
  </si>
  <si>
    <t xml:space="preserve">Quinta Monteluz
</t>
  </si>
  <si>
    <t xml:space="preserve">Solar de Vilar Seco
</t>
  </si>
  <si>
    <t xml:space="preserve">Quinta das Pedras Bem Feitas
</t>
  </si>
  <si>
    <t xml:space="preserve">Montebelo Príncipe Perfeito
</t>
  </si>
  <si>
    <t xml:space="preserve">Casa dos Gomes
</t>
  </si>
  <si>
    <t xml:space="preserve">Solar de Vilar
</t>
  </si>
  <si>
    <t xml:space="preserve">Quinta da Boiça
</t>
  </si>
  <si>
    <t>Quinta Vale Locaia</t>
  </si>
  <si>
    <t xml:space="preserve">Paraíso Douro
</t>
  </si>
  <si>
    <t xml:space="preserve">Paço dos Cunhas
</t>
  </si>
  <si>
    <t>Solar do Fundo da Rua Douro</t>
  </si>
  <si>
    <t xml:space="preserve">Montebelo Aguieira Lake Resort &amp; Spa
</t>
  </si>
  <si>
    <t xml:space="preserve">Hotel Casa da Ínsua
</t>
  </si>
  <si>
    <t>Quinta do Paço Hotel</t>
  </si>
  <si>
    <t>Delfim Douro Hotel</t>
  </si>
  <si>
    <t xml:space="preserve">Lamego Hotel &amp; Life
</t>
  </si>
  <si>
    <t xml:space="preserve">Quinta dos Varais
</t>
  </si>
  <si>
    <t>Soito Wines Eventos</t>
  </si>
  <si>
    <t xml:space="preserve">Hotel Rural Casa dos Viscondes da Varzea
</t>
  </si>
  <si>
    <t>Quinta da Pacheca</t>
  </si>
  <si>
    <t xml:space="preserve">Quinta São José do Barrilário - Douro Wine Hotel &amp; Spa
</t>
  </si>
  <si>
    <t xml:space="preserve">Terceira Mar Hotel
</t>
  </si>
  <si>
    <t>Refúgio do Mirante</t>
  </si>
  <si>
    <t>Restaurante Solar Rei do Frango</t>
  </si>
  <si>
    <t>Restaurante Águia</t>
  </si>
  <si>
    <t xml:space="preserve">Hotel do Caracol
</t>
  </si>
  <si>
    <t xml:space="preserve">Hotel Ponta Delgada
</t>
  </si>
  <si>
    <t>Hotel Talisman</t>
  </si>
  <si>
    <t xml:space="preserve">Azoris Faial Garden – Resort Hotel
</t>
  </si>
  <si>
    <t xml:space="preserve">Hotel Marina Atlântico
</t>
  </si>
  <si>
    <t xml:space="preserve">Paladares da Quinta
</t>
  </si>
  <si>
    <t>Quinta da Madeira Velha</t>
  </si>
  <si>
    <t xml:space="preserve">Angra Marina Hotel
</t>
  </si>
  <si>
    <t xml:space="preserve">Azoris Royal Garden
</t>
  </si>
  <si>
    <t xml:space="preserve">Estufa Fria do Jardim Botânico José do Canto
</t>
  </si>
  <si>
    <t xml:space="preserve">Terra Nostra Garden Hotel
</t>
  </si>
  <si>
    <t>Quinta O Águia</t>
  </si>
  <si>
    <t xml:space="preserve">Q Eventos
</t>
  </si>
  <si>
    <t xml:space="preserve">Hotel Açores Atlântico
</t>
  </si>
  <si>
    <t xml:space="preserve">Hotel Pestana Bahia Praia
</t>
  </si>
  <si>
    <t xml:space="preserve">Adega da Quinta
</t>
  </si>
  <si>
    <t xml:space="preserve">Aldeia da Cuada
</t>
  </si>
  <si>
    <t xml:space="preserve">Restaurante Trianguloso
</t>
  </si>
  <si>
    <t>Quinta do Furão</t>
  </si>
  <si>
    <t>Quinta das Carreiras</t>
  </si>
  <si>
    <t xml:space="preserve">Penha de França Hotels
</t>
  </si>
  <si>
    <t xml:space="preserve">Galo Resort Galosol Hotel
</t>
  </si>
  <si>
    <t xml:space="preserve">Restaurante Estrela do Norte
</t>
  </si>
  <si>
    <t xml:space="preserve">Restaurante e Hotel O Colmo
</t>
  </si>
  <si>
    <t xml:space="preserve">Casa de Chá do Faial
</t>
  </si>
  <si>
    <t xml:space="preserve">Hotel Encumeada
</t>
  </si>
  <si>
    <t>Clube de Golf Santo da Serra</t>
  </si>
  <si>
    <t>Dorisol</t>
  </si>
  <si>
    <t xml:space="preserve">Il Vivaldi
</t>
  </si>
  <si>
    <t xml:space="preserve">Restaurante O Lagar
</t>
  </si>
  <si>
    <t xml:space="preserve">Nini Design Centre
</t>
  </si>
  <si>
    <t xml:space="preserve">Suite Hotel Jardins da Ajuda
</t>
  </si>
  <si>
    <t xml:space="preserve">Hotel Baía Azul
</t>
  </si>
  <si>
    <t xml:space="preserve">Vila Baleira Porto Santo - Beach &amp; Thalasso Resort
</t>
  </si>
  <si>
    <t xml:space="preserve">Restaurante Do Forte
</t>
  </si>
  <si>
    <t xml:space="preserve">Eira do Serrado Hotel &amp; SPA
</t>
  </si>
  <si>
    <t xml:space="preserve">Savoy Saccharum
</t>
  </si>
  <si>
    <t xml:space="preserve">Torre Bella Gardens
</t>
  </si>
  <si>
    <t>Hotel Quinta da Serra – Bio Hotel</t>
  </si>
  <si>
    <t xml:space="preserve">Turim Santa Maria Hotel
</t>
  </si>
  <si>
    <t xml:space="preserve">Meliá Madeira Mare
</t>
  </si>
  <si>
    <t xml:space="preserve">Quinta Estação
</t>
  </si>
  <si>
    <t xml:space="preserve">Sé Boutique Hotel
</t>
  </si>
  <si>
    <t xml:space="preserve">Villa Camélia Boutique House
</t>
  </si>
  <si>
    <t xml:space="preserve">Villa Alto Boutique Hotel
</t>
  </si>
  <si>
    <t xml:space="preserve">Quinta Splendida
</t>
  </si>
  <si>
    <t xml:space="preserve">Quinta Santa Rita
</t>
  </si>
  <si>
    <t xml:space="preserve">Reid’s Palace
</t>
  </si>
  <si>
    <t xml:space="preserve">Hotel Savoy Palace
</t>
  </si>
  <si>
    <t xml:space="preserve">Palheiro Nature Estate
</t>
  </si>
  <si>
    <t>Resumo para e-mail (copiar/colar e personalizar)</t>
  </si>
  <si>
    <t>Dados Base</t>
  </si>
  <si>
    <t>€ por Convidado (calc.)</t>
  </si>
  <si>
    <t>Região</t>
  </si>
  <si>
    <t>Prioridades</t>
  </si>
  <si>
    <t>Distribuição Recomendada (ajuste livre)</t>
  </si>
  <si>
    <t>%</t>
  </si>
  <si>
    <t>€</t>
  </si>
  <si>
    <t>Espaço &amp; Catering</t>
  </si>
  <si>
    <t>Estacionário &amp; Convites</t>
  </si>
  <si>
    <t>Lembranças &amp; Detalhes</t>
  </si>
  <si>
    <t>Assessoria &amp; Coordenação (opcional)</t>
  </si>
  <si>
    <t>Totais</t>
  </si>
  <si>
    <t>Alertas Rápidos (preencher manualmente)</t>
  </si>
  <si>
    <t xml:space="preserve">- </t>
  </si>
  <si>
    <t>Próximos Passos Recomendados (preencher manualmente)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</si>
</sst>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1]"/>
    <numFmt numFmtId="165" formatCode="#,##0\ [$€-1]"/>
  </numFmts>
  <fonts count="11">
    <font>
      <sz val="10.0"/>
      <color rgb="FF000000"/>
      <name val="Arial"/>
      <scheme val="minor"/>
    </font>
    <font>
      <b/>
      <sz val="11.0"/>
      <color theme="1"/>
      <name val="Arial"/>
    </font>
    <font>
      <b/>
      <sz val="10.0"/>
      <color theme="1"/>
      <name val="Calibri"/>
    </font>
    <font>
      <color theme="1"/>
      <name val="Arial"/>
      <scheme val="minor"/>
    </font>
    <font>
      <sz val="11.0"/>
      <color theme="1"/>
      <name val="'Segoe UI'"/>
    </font>
    <font>
      <sz val="10.0"/>
      <color theme="1"/>
      <name val="Calibri"/>
    </font>
    <font>
      <sz val="10.0"/>
      <color theme="1"/>
      <name val="Arial"/>
    </font>
    <font>
      <b/>
      <sz val="11.0"/>
      <color theme="1"/>
      <name val="'Segoe UI'"/>
    </font>
    <font>
      <b/>
      <color theme="1"/>
      <name val="Arial"/>
      <scheme val="minor"/>
    </font>
    <font>
      <b/>
      <sz val="10.0"/>
      <color theme="1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164" xfId="0" applyAlignment="1" applyFont="1" applyNumberFormat="1">
      <alignment readingOrder="0"/>
    </xf>
    <xf borderId="0" fillId="2" fontId="4" numFmtId="0" xfId="0" applyAlignment="1" applyFill="1" applyFont="1">
      <alignment readingOrder="0"/>
    </xf>
    <xf borderId="0" fillId="2" fontId="3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Font="1"/>
    <xf borderId="0" fillId="2" fontId="3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3" numFmtId="164" xfId="0" applyFont="1" applyNumberFormat="1"/>
    <xf borderId="0" fillId="0" fontId="4" numFmtId="0" xfId="0" applyAlignment="1" applyFont="1">
      <alignment readingOrder="0"/>
    </xf>
    <xf borderId="0" fillId="0" fontId="5" numFmtId="0" xfId="0" applyFont="1"/>
    <xf borderId="0" fillId="0" fontId="3" numFmtId="0" xfId="0" applyFont="1"/>
    <xf borderId="0" fillId="0" fontId="3" numFmtId="165" xfId="0" applyFont="1" applyNumberFormat="1"/>
    <xf borderId="0" fillId="0" fontId="6" numFmtId="0" xfId="0" applyFont="1"/>
    <xf borderId="0" fillId="0" fontId="6" numFmtId="165" xfId="0" applyFont="1" applyNumberFormat="1"/>
    <xf borderId="0" fillId="0" fontId="7" numFmtId="0" xfId="0" applyAlignment="1" applyFont="1">
      <alignment readingOrder="0"/>
    </xf>
    <xf borderId="0" fillId="0" fontId="3" numFmtId="0" xfId="0" applyAlignment="1" applyFont="1">
      <alignment horizontal="right"/>
    </xf>
    <xf borderId="0" fillId="0" fontId="3" numFmtId="164" xfId="0" applyFont="1" applyNumberFormat="1"/>
    <xf borderId="0" fillId="0" fontId="3" numFmtId="0" xfId="0" applyAlignment="1" applyFont="1">
      <alignment horizontal="right"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8" numFmtId="164" xfId="0" applyFont="1" applyNumberFormat="1"/>
    <xf borderId="0" fillId="0" fontId="5" numFmtId="164" xfId="0" applyFont="1" applyNumberFormat="1"/>
    <xf borderId="0" fillId="0" fontId="5" numFmtId="0" xfId="0" applyAlignment="1" applyFont="1">
      <alignment readingOrder="0"/>
    </xf>
    <xf borderId="0" fillId="0" fontId="2" numFmtId="164" xfId="0" applyFont="1" applyNumberFormat="1"/>
    <xf borderId="0" fillId="0" fontId="9" numFmtId="0" xfId="0" applyFont="1"/>
    <xf borderId="0" fillId="0" fontId="3" numFmtId="165" xfId="0" applyFont="1" applyNumberFormat="1"/>
    <xf borderId="0" fillId="0" fontId="6" numFmtId="164" xfId="0" applyFont="1" applyNumberFormat="1"/>
    <xf borderId="0" fillId="0" fontId="10" numFmtId="0" xfId="0" applyFont="1"/>
    <xf borderId="0" fillId="0" fontId="6" numFmtId="164" xfId="0" applyFont="1" applyNumberFormat="1"/>
    <xf borderId="0" fillId="0" fontId="9" numFmtId="16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asamentos.pt/quintas-para-casamentos/quinta-varanda-das-estevas--e111784" TargetMode="External"/><Relationship Id="rId194" Type="http://schemas.openxmlformats.org/officeDocument/2006/relationships/hyperlink" Target="https://www.casamentos.pt/quintas-para-casamentos/albergue-do-bonjardim--e125043" TargetMode="External"/><Relationship Id="rId193" Type="http://schemas.openxmlformats.org/officeDocument/2006/relationships/hyperlink" Target="https://www.casamentos.pt/restaurantes-para-casamentos/restaurante-milita--e109778" TargetMode="External"/><Relationship Id="rId192" Type="http://schemas.openxmlformats.org/officeDocument/2006/relationships/hyperlink" Target="https://www.casamentos.pt/hotel-casamento/melia-castelo-branco--e106509" TargetMode="External"/><Relationship Id="rId191" Type="http://schemas.openxmlformats.org/officeDocument/2006/relationships/hyperlink" Target="https://www.casamentos.pt/quintas-para-casamentos/quinta-do-condestavel--e144076" TargetMode="External"/><Relationship Id="rId187" Type="http://schemas.openxmlformats.org/officeDocument/2006/relationships/hyperlink" Target="https://www.casamentos.pt/quintas-para-casamentos/quinta-das-flores--e105938" TargetMode="External"/><Relationship Id="rId186" Type="http://schemas.openxmlformats.org/officeDocument/2006/relationships/hyperlink" Target="https://www.casamentos.pt/quintas-para-casamentos/quinta-da-danca--e50552" TargetMode="External"/><Relationship Id="rId185" Type="http://schemas.openxmlformats.org/officeDocument/2006/relationships/hyperlink" Target="https://www.casamentos.pt/hotel-casamento/hotel-covilha-dona-maria-affiliated-by-melia--e106510" TargetMode="External"/><Relationship Id="rId184" Type="http://schemas.openxmlformats.org/officeDocument/2006/relationships/hyperlink" Target="https://www.casamentos.pt/quintas-para-casamentos/quinta-das-oliveiras--e150809" TargetMode="External"/><Relationship Id="rId189" Type="http://schemas.openxmlformats.org/officeDocument/2006/relationships/hyperlink" Target="https://www.casamentos.pt/hotel-casamento/hotel-rainha-d-amelia-arts-&amp;-leisure--e130023" TargetMode="External"/><Relationship Id="rId188" Type="http://schemas.openxmlformats.org/officeDocument/2006/relationships/hyperlink" Target="https://www.casamentos.pt/quintas-para-casamentos/herdade-do-regato--e106716" TargetMode="External"/><Relationship Id="rId183" Type="http://schemas.openxmlformats.org/officeDocument/2006/relationships/hyperlink" Target="https://www.casamentos.pt/quintas-para-casamentos/quinta-da-ponte--e150342" TargetMode="External"/><Relationship Id="rId182" Type="http://schemas.openxmlformats.org/officeDocument/2006/relationships/hyperlink" Target="https://www.casamentos.pt/quintas-para-casamentos/casal-de-tralhariz--e156653" TargetMode="External"/><Relationship Id="rId181" Type="http://schemas.openxmlformats.org/officeDocument/2006/relationships/hyperlink" Target="https://www.casamentos.pt/quintas-para-casamentos/quinta-das-queimadas--e105939" TargetMode="External"/><Relationship Id="rId180" Type="http://schemas.openxmlformats.org/officeDocument/2006/relationships/hyperlink" Target="https://www.casamentos.pt/quintas-para-casamentos/quinta-das-covas--e50588" TargetMode="External"/><Relationship Id="rId176" Type="http://schemas.openxmlformats.org/officeDocument/2006/relationships/hyperlink" Target="https://www.casamentos.pt/quintas-para-casamentos/quinta-da-terrincha-douro-events--e114554" TargetMode="External"/><Relationship Id="rId175" Type="http://schemas.openxmlformats.org/officeDocument/2006/relationships/hyperlink" Target="https://www.casamentos.pt/quintas-para-casamentos/quinta-da-charrete--e113563" TargetMode="External"/><Relationship Id="rId174" Type="http://schemas.openxmlformats.org/officeDocument/2006/relationships/hyperlink" Target="https://www.casamentos.pt/hotel-casamento/hotel-spa-alfandega-da-fe--e108805" TargetMode="External"/><Relationship Id="rId173" Type="http://schemas.openxmlformats.org/officeDocument/2006/relationships/hyperlink" Target="https://www.casamentos.pt/quintas-para-casamentos/d-mariantonia--e166603" TargetMode="External"/><Relationship Id="rId179" Type="http://schemas.openxmlformats.org/officeDocument/2006/relationships/hyperlink" Target="https://www.casamentos.pt/quintas-para-casamentos/glamping-hills--e166409" TargetMode="External"/><Relationship Id="rId178" Type="http://schemas.openxmlformats.org/officeDocument/2006/relationships/hyperlink" Target="https://www.casamentos.pt/quintas-para-casamentos/quinta-valle-de-passos--e104425" TargetMode="External"/><Relationship Id="rId177" Type="http://schemas.openxmlformats.org/officeDocument/2006/relationships/hyperlink" Target="https://www.casamentos.pt/quintas-para-casamentos/quinta-do-poulao--e161645" TargetMode="External"/><Relationship Id="rId198" Type="http://schemas.openxmlformats.org/officeDocument/2006/relationships/hyperlink" Target="https://www.casamentos.pt/restaurantes-para-casamentos/santos-&amp;-marcal--e107456" TargetMode="External"/><Relationship Id="rId197" Type="http://schemas.openxmlformats.org/officeDocument/2006/relationships/hyperlink" Target="https://www.casamentos.pt/hotel-casamento/fonte-santa-hotel--e108356" TargetMode="External"/><Relationship Id="rId196" Type="http://schemas.openxmlformats.org/officeDocument/2006/relationships/hyperlink" Target="https://www.casamentos.pt/quintas-para-casamentos/vale-jardim-quinta--e105963" TargetMode="External"/><Relationship Id="rId195" Type="http://schemas.openxmlformats.org/officeDocument/2006/relationships/hyperlink" Target="https://www.casamentos.pt/quintas-para-casamentos/hotel-da-montanha--e107100" TargetMode="External"/><Relationship Id="rId199" Type="http://schemas.openxmlformats.org/officeDocument/2006/relationships/hyperlink" Target="https://www.casamentos.pt/quintas-para-casamentos/quinta-dos-quinteiros--e115960" TargetMode="External"/><Relationship Id="rId150" Type="http://schemas.openxmlformats.org/officeDocument/2006/relationships/hyperlink" Target="https://www.casamentos.pt/quintas-para-casamentos/casa-do-gandiao--e110565" TargetMode="External"/><Relationship Id="rId392" Type="http://schemas.openxmlformats.org/officeDocument/2006/relationships/hyperlink" Target="https://www.casamentos.pt/quintas-para-casamentos/hotel-lusitania--e106468" TargetMode="External"/><Relationship Id="rId391" Type="http://schemas.openxmlformats.org/officeDocument/2006/relationships/hyperlink" Target="https://www.casamentos.pt/restaurantes-para-casamentos/casas-do-coro--e97418" TargetMode="External"/><Relationship Id="rId390" Type="http://schemas.openxmlformats.org/officeDocument/2006/relationships/hyperlink" Target="https://www.casamentos.pt/quintas-para-casamentos/quinta-da-terrincha-douro-events--e114554" TargetMode="External"/><Relationship Id="rId1" Type="http://schemas.openxmlformats.org/officeDocument/2006/relationships/hyperlink" Target="https://www.casamentos.pt/quintas-para-casamentos/villa-diogo-1906--e119300" TargetMode="External"/><Relationship Id="rId2" Type="http://schemas.openxmlformats.org/officeDocument/2006/relationships/hyperlink" Target="https://www.casamentos.pt/quintas-para-casamentos/teamevents--e135160" TargetMode="External"/><Relationship Id="rId3" Type="http://schemas.openxmlformats.org/officeDocument/2006/relationships/hyperlink" Target="https://www.casamentos.pt/quintas-para-casamentos/riabela-eventos--e86732" TargetMode="External"/><Relationship Id="rId149" Type="http://schemas.openxmlformats.org/officeDocument/2006/relationships/hyperlink" Target="https://www.casamentos.pt/quintas-para-casamentos/paco-da-comenda-premium-events--e144150" TargetMode="External"/><Relationship Id="rId4" Type="http://schemas.openxmlformats.org/officeDocument/2006/relationships/hyperlink" Target="https://www.casamentos.pt/quintas-para-casamentos/solar-das-estatuas--e106231" TargetMode="External"/><Relationship Id="rId148" Type="http://schemas.openxmlformats.org/officeDocument/2006/relationships/hyperlink" Target="https://www.casamentos.pt/quintas-para-casamentos/solar-da-villa--e149234" TargetMode="External"/><Relationship Id="rId1090" Type="http://schemas.openxmlformats.org/officeDocument/2006/relationships/hyperlink" Target="https://www.casamentos.pt/restaurantes-para-casamentos/kualquer-koisa--e158783" TargetMode="External"/><Relationship Id="rId1091" Type="http://schemas.openxmlformats.org/officeDocument/2006/relationships/hyperlink" Target="https://www.casamentos.pt/quintas-para-casamentos/quinta-de-marzovelos--e149766" TargetMode="External"/><Relationship Id="rId1092" Type="http://schemas.openxmlformats.org/officeDocument/2006/relationships/hyperlink" Target="https://www.casamentos.pt/quintas-para-casamentos/quinta-chao-do-vintem--e50537" TargetMode="External"/><Relationship Id="rId1093" Type="http://schemas.openxmlformats.org/officeDocument/2006/relationships/hyperlink" Target="https://www.casamentos.pt/quintas-para-casamentos/hotel-senhora-do-castelo--e50374" TargetMode="External"/><Relationship Id="rId1094" Type="http://schemas.openxmlformats.org/officeDocument/2006/relationships/hyperlink" Target="https://www.casamentos.pt/hotel-casamento/hotel-severino-jose--e102852" TargetMode="External"/><Relationship Id="rId9" Type="http://schemas.openxmlformats.org/officeDocument/2006/relationships/hyperlink" Target="https://www.casamentos.pt/quintas-para-casamentos/dom-rogerio-oia--e49573" TargetMode="External"/><Relationship Id="rId143" Type="http://schemas.openxmlformats.org/officeDocument/2006/relationships/hyperlink" Target="https://www.casamentos.pt/quintas-para-casamentos/quinta-da-telhada--e113037" TargetMode="External"/><Relationship Id="rId385" Type="http://schemas.openxmlformats.org/officeDocument/2006/relationships/hyperlink" Target="https://www.casamentos.pt/restaurantes-para-casamentos/o-albertino-folgosinho--e113577" TargetMode="External"/><Relationship Id="rId1095" Type="http://schemas.openxmlformats.org/officeDocument/2006/relationships/hyperlink" Target="https://www.casamentos.pt/restaurantes-para-casamentos/arpuro--e119250" TargetMode="External"/><Relationship Id="rId142" Type="http://schemas.openxmlformats.org/officeDocument/2006/relationships/hyperlink" Target="https://www.casamentos.pt/quintas-para-casamentos/herdade-do-porisso--e129181" TargetMode="External"/><Relationship Id="rId384" Type="http://schemas.openxmlformats.org/officeDocument/2006/relationships/hyperlink" Target="https://www.casamentos.pt/quintas-para-casamentos/quinta-do-padeiro-panifex--e117812" TargetMode="External"/><Relationship Id="rId1096" Type="http://schemas.openxmlformats.org/officeDocument/2006/relationships/hyperlink" Target="https://www.casamentos.pt/hotel-casamento/hotel-durao--e110304" TargetMode="External"/><Relationship Id="rId141" Type="http://schemas.openxmlformats.org/officeDocument/2006/relationships/hyperlink" Target="https://www.casamentos.pt/quintas-para-casamentos/sameiro-eventos--e93004" TargetMode="External"/><Relationship Id="rId383" Type="http://schemas.openxmlformats.org/officeDocument/2006/relationships/hyperlink" Target="https://www.casamentos.pt/restaurantes-para-casamentos/restaurante-coamuseu--e113521" TargetMode="External"/><Relationship Id="rId1097" Type="http://schemas.openxmlformats.org/officeDocument/2006/relationships/hyperlink" Target="https://www.casamentos.pt/hotel-casamento/hotel-onix--e111136" TargetMode="External"/><Relationship Id="rId140" Type="http://schemas.openxmlformats.org/officeDocument/2006/relationships/hyperlink" Target="https://www.casamentos.pt/quintas-para-casamentos/quinta-vila-verde--e107305" TargetMode="External"/><Relationship Id="rId382" Type="http://schemas.openxmlformats.org/officeDocument/2006/relationships/hyperlink" Target="https://www.casamentos.pt/quintas-para-casamentos/quinta-da-cheinha--e113899" TargetMode="External"/><Relationship Id="rId1098" Type="http://schemas.openxmlformats.org/officeDocument/2006/relationships/hyperlink" Target="https://www.casamentos.pt/restaurantes-para-casamentos/restaurante-douro-vista--e104696" TargetMode="External"/><Relationship Id="rId5" Type="http://schemas.openxmlformats.org/officeDocument/2006/relationships/hyperlink" Target="https://www.casamentos.pt/hotel-casamento/tulip-inn-estarreja-hotel-&amp;-spa--e110273" TargetMode="External"/><Relationship Id="rId147" Type="http://schemas.openxmlformats.org/officeDocument/2006/relationships/hyperlink" Target="https://www.casamentos.pt/quintas-para-casamentos/quinta-de-caslopo--e89720" TargetMode="External"/><Relationship Id="rId389" Type="http://schemas.openxmlformats.org/officeDocument/2006/relationships/hyperlink" Target="https://www.casamentos.pt/hotel-casamento/madre-de-agua-hotel-rural--e106684" TargetMode="External"/><Relationship Id="rId1099" Type="http://schemas.openxmlformats.org/officeDocument/2006/relationships/hyperlink" Target="https://www.casamentos.pt/hotel-casamento/hotel-cruz-da-mata--e110277" TargetMode="External"/><Relationship Id="rId6" Type="http://schemas.openxmlformats.org/officeDocument/2006/relationships/hyperlink" Target="https://www.casamentos.pt/quintas-para-casamentos/quinta-sol-nascente--e109750" TargetMode="External"/><Relationship Id="rId146" Type="http://schemas.openxmlformats.org/officeDocument/2006/relationships/hyperlink" Target="https://www.casamentos.pt/quintas-para-casamentos/quinta-da-fontinha--e107209" TargetMode="External"/><Relationship Id="rId388" Type="http://schemas.openxmlformats.org/officeDocument/2006/relationships/hyperlink" Target="https://www.casamentos.pt/hotel-casamento/cro-hotel-rural--e120636" TargetMode="External"/><Relationship Id="rId7" Type="http://schemas.openxmlformats.org/officeDocument/2006/relationships/hyperlink" Target="https://www.casamentos.pt/quintas-para-casamentos/quinta-dos-vales--e109055" TargetMode="External"/><Relationship Id="rId145" Type="http://schemas.openxmlformats.org/officeDocument/2006/relationships/hyperlink" Target="https://www.casamentos.pt/quintas-para-casamentos/glicinia-wedding-house--e120678" TargetMode="External"/><Relationship Id="rId387" Type="http://schemas.openxmlformats.org/officeDocument/2006/relationships/hyperlink" Target="https://www.casamentos.pt/quintas-para-casamentos/quinta-do-moinho--e117356" TargetMode="External"/><Relationship Id="rId8" Type="http://schemas.openxmlformats.org/officeDocument/2006/relationships/hyperlink" Target="https://www.casamentos.pt/quintas-para-casamentos/quinta-da-relva--e50571" TargetMode="External"/><Relationship Id="rId144" Type="http://schemas.openxmlformats.org/officeDocument/2006/relationships/hyperlink" Target="https://www.casamentos.pt/quintas-para-casamentos/quinta-cardeal--e117922" TargetMode="External"/><Relationship Id="rId386" Type="http://schemas.openxmlformats.org/officeDocument/2006/relationships/hyperlink" Target="https://www.casamentos.pt/quintas-para-casamentos/quinta-lameira-da-cruz--e50482" TargetMode="External"/><Relationship Id="rId381" Type="http://schemas.openxmlformats.org/officeDocument/2006/relationships/hyperlink" Target="https://www.casamentos.pt/quintas-para-casamentos/quinta-de-santo-estevao--e106481" TargetMode="External"/><Relationship Id="rId380" Type="http://schemas.openxmlformats.org/officeDocument/2006/relationships/hyperlink" Target="https://www.casamentos.pt/quintas-para-casamentos/casas-do-bragal--e161063" TargetMode="External"/><Relationship Id="rId139" Type="http://schemas.openxmlformats.org/officeDocument/2006/relationships/hyperlink" Target="https://www.casamentos.pt/quintas-para-casamentos/quinta-da-aldeia--e48152" TargetMode="External"/><Relationship Id="rId138" Type="http://schemas.openxmlformats.org/officeDocument/2006/relationships/hyperlink" Target="https://www.casamentos.pt/quintas-para-casamentos/quinta-da-granja--e112138" TargetMode="External"/><Relationship Id="rId137" Type="http://schemas.openxmlformats.org/officeDocument/2006/relationships/hyperlink" Target="https://www.casamentos.pt/quintas-para-casamentos/quinta-vinha-do-cabo--e112547" TargetMode="External"/><Relationship Id="rId379" Type="http://schemas.openxmlformats.org/officeDocument/2006/relationships/hyperlink" Target="https://www.casamentos.pt/quintas-para-casamentos/quinta-da-ponte--e50567" TargetMode="External"/><Relationship Id="rId1080" Type="http://schemas.openxmlformats.org/officeDocument/2006/relationships/hyperlink" Target="https://www.casamentos.pt/quintas-para-casamentos/casas-novas-countryside-hotel--e104325" TargetMode="External"/><Relationship Id="rId1081" Type="http://schemas.openxmlformats.org/officeDocument/2006/relationships/hyperlink" Target="https://www.casamentos.pt/quintas-para-casamentos/quinta-do-principe--e104500" TargetMode="External"/><Relationship Id="rId1082" Type="http://schemas.openxmlformats.org/officeDocument/2006/relationships/hyperlink" Target="https://www.casamentos.pt/hotel-casamento/boticas-hotel-art-&amp;-spa--e125655" TargetMode="External"/><Relationship Id="rId1083" Type="http://schemas.openxmlformats.org/officeDocument/2006/relationships/hyperlink" Target="https://www.casamentos.pt/quintas-para-casamentos/quinta-dos-romanticos--e153109" TargetMode="External"/><Relationship Id="rId132" Type="http://schemas.openxmlformats.org/officeDocument/2006/relationships/hyperlink" Target="https://www.casamentos.pt/quintas-para-casamentos/quintinha-das-fervencas--e85531" TargetMode="External"/><Relationship Id="rId374" Type="http://schemas.openxmlformats.org/officeDocument/2006/relationships/hyperlink" Target="https://www.casamentos.pt/quintas-para-casamentos/casa-monte-cristo-collection--e141155" TargetMode="External"/><Relationship Id="rId1084" Type="http://schemas.openxmlformats.org/officeDocument/2006/relationships/hyperlink" Target="https://www.casamentos.pt/quintas-para-casamentos/quinta-de-fiaes-agroturismo--e152669" TargetMode="External"/><Relationship Id="rId131" Type="http://schemas.openxmlformats.org/officeDocument/2006/relationships/hyperlink" Target="https://www.casamentos.pt/quintas-para-casamentos/quinta-de-sabroso--e133859" TargetMode="External"/><Relationship Id="rId373" Type="http://schemas.openxmlformats.org/officeDocument/2006/relationships/hyperlink" Target="https://www.casamentos.pt/hotel-casamento/crowne-plaza-vilamoura-algarve--e87207" TargetMode="External"/><Relationship Id="rId1085" Type="http://schemas.openxmlformats.org/officeDocument/2006/relationships/hyperlink" Target="https://www.casamentos.pt/quintas-para-casamentos/quinta-do-paco-hotel--e76213" TargetMode="External"/><Relationship Id="rId130" Type="http://schemas.openxmlformats.org/officeDocument/2006/relationships/hyperlink" Target="https://www.casamentos.pt/quintas-para-casamentos/quinta-das-lamas--e77837" TargetMode="External"/><Relationship Id="rId372" Type="http://schemas.openxmlformats.org/officeDocument/2006/relationships/hyperlink" Target="https://www.casamentos.pt/hotel-casamento/w-algarve--e151723" TargetMode="External"/><Relationship Id="rId1086" Type="http://schemas.openxmlformats.org/officeDocument/2006/relationships/hyperlink" Target="https://www.casamentos.pt/hotel-casamento/hotel-rio-beca--e107294" TargetMode="External"/><Relationship Id="rId371" Type="http://schemas.openxmlformats.org/officeDocument/2006/relationships/hyperlink" Target="https://www.casamentos.pt/quintas-para-casamentos/quinta-do-lago--e110025" TargetMode="External"/><Relationship Id="rId1087" Type="http://schemas.openxmlformats.org/officeDocument/2006/relationships/hyperlink" Target="https://www.casamentos.pt/quintas-para-casamentos/quinta-do-castelo-pedra-pura-resort--e172883" TargetMode="External"/><Relationship Id="rId136" Type="http://schemas.openxmlformats.org/officeDocument/2006/relationships/hyperlink" Target="https://www.casamentos.pt/quintas-para-casamentos/quinta-dos-jasmins--e125369" TargetMode="External"/><Relationship Id="rId378" Type="http://schemas.openxmlformats.org/officeDocument/2006/relationships/hyperlink" Target="https://www.casamentos.pt/quintas-para-casamentos/villa-guarda--e118278" TargetMode="External"/><Relationship Id="rId1088" Type="http://schemas.openxmlformats.org/officeDocument/2006/relationships/hyperlink" Target="https://www.casamentos.pt/hotel-casamento/casa-da-se-hotel-de-charme--e108040" TargetMode="External"/><Relationship Id="rId135" Type="http://schemas.openxmlformats.org/officeDocument/2006/relationships/hyperlink" Target="https://www.casamentos.pt/quintas-para-casamentos/quinta-de-resela--e108028" TargetMode="External"/><Relationship Id="rId377" Type="http://schemas.openxmlformats.org/officeDocument/2006/relationships/hyperlink" Target="https://www.casamentos.pt/quintas-para-casamentos/quinta-do-videira--e107237" TargetMode="External"/><Relationship Id="rId1089" Type="http://schemas.openxmlformats.org/officeDocument/2006/relationships/hyperlink" Target="https://www.casamentos.pt/quintas-para-casamentos/moinhos-da-tia-antoninha--e50486" TargetMode="External"/><Relationship Id="rId134" Type="http://schemas.openxmlformats.org/officeDocument/2006/relationships/hyperlink" Target="https://www.casamentos.pt/quintas-para-casamentos/colina-do-romao--e132463" TargetMode="External"/><Relationship Id="rId376" Type="http://schemas.openxmlformats.org/officeDocument/2006/relationships/hyperlink" Target="https://www.casamentos.pt/quintas-para-casamentos/quinta-de-santo-antonio--e50681" TargetMode="External"/><Relationship Id="rId133" Type="http://schemas.openxmlformats.org/officeDocument/2006/relationships/hyperlink" Target="https://www.casamentos.pt/quintas-para-casamentos/solar-do-paco--e46908" TargetMode="External"/><Relationship Id="rId375" Type="http://schemas.openxmlformats.org/officeDocument/2006/relationships/hyperlink" Target="https://www.casamentos.pt/quintas-para-casamentos/ynext-eventus--e175259" TargetMode="External"/><Relationship Id="rId172" Type="http://schemas.openxmlformats.org/officeDocument/2006/relationships/hyperlink" Target="https://www.casamentos.pt/quintas-para-casamentos/quinta-bodas-de-cana--e104333" TargetMode="External"/><Relationship Id="rId171" Type="http://schemas.openxmlformats.org/officeDocument/2006/relationships/hyperlink" Target="https://www.casamentos.pt/quintas-para-casamentos/casa-do-lago--e150318" TargetMode="External"/><Relationship Id="rId170" Type="http://schemas.openxmlformats.org/officeDocument/2006/relationships/hyperlink" Target="https://www.casamentos.pt/quintas-para-casamentos/ph-in-alto-douro-vinhateiro--e176273" TargetMode="External"/><Relationship Id="rId165" Type="http://schemas.openxmlformats.org/officeDocument/2006/relationships/hyperlink" Target="https://www.casamentos.pt/quintas-para-casamentos/quinta-da-eira-do-sol--e107922" TargetMode="External"/><Relationship Id="rId164" Type="http://schemas.openxmlformats.org/officeDocument/2006/relationships/hyperlink" Target="https://www.casamentos.pt/quintas-para-casamentos/colunata-eventos--e49210" TargetMode="External"/><Relationship Id="rId163" Type="http://schemas.openxmlformats.org/officeDocument/2006/relationships/hyperlink" Target="https://www.casamentos.pt/quintas-para-casamentos/sunset-house--e112481" TargetMode="External"/><Relationship Id="rId162" Type="http://schemas.openxmlformats.org/officeDocument/2006/relationships/hyperlink" Target="https://www.casamentos.pt/quintas-para-casamentos/quinta-da-fonte-amares--e76173" TargetMode="External"/><Relationship Id="rId169" Type="http://schemas.openxmlformats.org/officeDocument/2006/relationships/hyperlink" Target="https://www.casamentos.pt/restaurantes-para-casamentos/restaurante-tavora--e90227" TargetMode="External"/><Relationship Id="rId168" Type="http://schemas.openxmlformats.org/officeDocument/2006/relationships/hyperlink" Target="https://www.casamentos.pt/quintas-para-casamentos/quinta-do-bairro--e167575" TargetMode="External"/><Relationship Id="rId167" Type="http://schemas.openxmlformats.org/officeDocument/2006/relationships/hyperlink" Target="https://www.casamentos.pt/quintas-para-casamentos/quinta-lago-dos-cisnes--e152027" TargetMode="External"/><Relationship Id="rId166" Type="http://schemas.openxmlformats.org/officeDocument/2006/relationships/hyperlink" Target="https://www.casamentos.pt/quintas-para-casamentos/solar-da-levada--e51121" TargetMode="External"/><Relationship Id="rId161" Type="http://schemas.openxmlformats.org/officeDocument/2006/relationships/hyperlink" Target="https://www.casamentos.pt/quintas-para-casamentos/quinta-da-pia--e113024" TargetMode="External"/><Relationship Id="rId160" Type="http://schemas.openxmlformats.org/officeDocument/2006/relationships/hyperlink" Target="https://www.casamentos.pt/quintas-para-casamentos/lameiras-eventos--e105484" TargetMode="External"/><Relationship Id="rId159" Type="http://schemas.openxmlformats.org/officeDocument/2006/relationships/hyperlink" Target="https://www.casamentos.pt/quintas-para-casamentos/quinta-vila-marita--e97457" TargetMode="External"/><Relationship Id="rId154" Type="http://schemas.openxmlformats.org/officeDocument/2006/relationships/hyperlink" Target="https://www.casamentos.pt/quintas-para-casamentos/solar-das-boucas--e136947" TargetMode="External"/><Relationship Id="rId396" Type="http://schemas.openxmlformats.org/officeDocument/2006/relationships/hyperlink" Target="https://www.casamentos.pt/hotel-casamento/real-abadia-congress-&amp;-spa-hotel--e119084" TargetMode="External"/><Relationship Id="rId153" Type="http://schemas.openxmlformats.org/officeDocument/2006/relationships/hyperlink" Target="https://www.casamentos.pt/quintas-para-casamentos/quinta-da-corredoura-hotel-rural--e155673" TargetMode="External"/><Relationship Id="rId395" Type="http://schemas.openxmlformats.org/officeDocument/2006/relationships/hyperlink" Target="https://www.casamentos.pt/hotel-casamento/silver-coast--e106269" TargetMode="External"/><Relationship Id="rId152" Type="http://schemas.openxmlformats.org/officeDocument/2006/relationships/hyperlink" Target="https://www.casamentos.pt/quintas-para-casamentos/pinha-eventos--e154629" TargetMode="External"/><Relationship Id="rId394" Type="http://schemas.openxmlformats.org/officeDocument/2006/relationships/hyperlink" Target="https://www.casamentos.pt/quintas-para-casamentos/quinta-d-dinis-espuma-de-hortela-catering--e135497" TargetMode="External"/><Relationship Id="rId151" Type="http://schemas.openxmlformats.org/officeDocument/2006/relationships/hyperlink" Target="https://www.casamentos.pt/quintas-para-casamentos/quinta-del-rei-wedding-signature--e109016" TargetMode="External"/><Relationship Id="rId393" Type="http://schemas.openxmlformats.org/officeDocument/2006/relationships/hyperlink" Target="https://www.casamentos.pt/hotel-casamento/hotel-santa-maria-alcobaca--e76012" TargetMode="External"/><Relationship Id="rId158" Type="http://schemas.openxmlformats.org/officeDocument/2006/relationships/hyperlink" Target="https://www.casamentos.pt/quintas-para-casamentos/quinta-de-castelaes--e163001" TargetMode="External"/><Relationship Id="rId157" Type="http://schemas.openxmlformats.org/officeDocument/2006/relationships/hyperlink" Target="https://www.casamentos.pt/quintas-para-casamentos/quinta-dos-casais--e167569" TargetMode="External"/><Relationship Id="rId399" Type="http://schemas.openxmlformats.org/officeDocument/2006/relationships/hyperlink" Target="https://www.casamentos.pt/quintas-para-casamentos/quinta-de-santana-redinha--e152783" TargetMode="External"/><Relationship Id="rId156" Type="http://schemas.openxmlformats.org/officeDocument/2006/relationships/hyperlink" Target="https://www.casamentos.pt/quintas-para-casamentos/quinta-da-granja--e107210" TargetMode="External"/><Relationship Id="rId398" Type="http://schemas.openxmlformats.org/officeDocument/2006/relationships/hyperlink" Target="https://www.casamentos.pt/restaurantes-para-casamentos/casa-da-nora--e51175" TargetMode="External"/><Relationship Id="rId155" Type="http://schemas.openxmlformats.org/officeDocument/2006/relationships/hyperlink" Target="https://www.casamentos.pt/hotel-casamento/pousadela-village--e126303" TargetMode="External"/><Relationship Id="rId397" Type="http://schemas.openxmlformats.org/officeDocument/2006/relationships/hyperlink" Target="https://www.casamentos.pt/restaurantes-para-casamentos/quinta-sao-francisco--e108015" TargetMode="External"/><Relationship Id="rId808" Type="http://schemas.openxmlformats.org/officeDocument/2006/relationships/hyperlink" Target="https://www.casamentos.pt/hotel-casamento/sheraton-porto-hotel-&amp;-spa--e50981" TargetMode="External"/><Relationship Id="rId807" Type="http://schemas.openxmlformats.org/officeDocument/2006/relationships/hyperlink" Target="https://www.casamentos.pt/quintas-para-casamentos/quinta-amadeus--e112538" TargetMode="External"/><Relationship Id="rId806" Type="http://schemas.openxmlformats.org/officeDocument/2006/relationships/hyperlink" Target="https://www.casamentos.pt/restaurantes-para-casamentos/fuzelhas--e159923" TargetMode="External"/><Relationship Id="rId805" Type="http://schemas.openxmlformats.org/officeDocument/2006/relationships/hyperlink" Target="https://www.casamentos.pt/hotel-casamento/hospes-infante-sagres--e77344" TargetMode="External"/><Relationship Id="rId809" Type="http://schemas.openxmlformats.org/officeDocument/2006/relationships/hyperlink" Target="https://www.casamentos.pt/quintas-para-casamentos/quinta-de-paredes--e77155" TargetMode="External"/><Relationship Id="rId800" Type="http://schemas.openxmlformats.org/officeDocument/2006/relationships/hyperlink" Target="https://www.casamentos.pt/quintas-para-casamentos/quinta-perola-do-rio--e77437" TargetMode="External"/><Relationship Id="rId804" Type="http://schemas.openxmlformats.org/officeDocument/2006/relationships/hyperlink" Target="https://www.casamentos.pt/quintas-para-casamentos/o-legado-quinta-de-eventos--e144148" TargetMode="External"/><Relationship Id="rId803" Type="http://schemas.openxmlformats.org/officeDocument/2006/relationships/hyperlink" Target="https://www.casamentos.pt/quintas-para-casamentos/quinta-dos-afonsos--e151075" TargetMode="External"/><Relationship Id="rId802" Type="http://schemas.openxmlformats.org/officeDocument/2006/relationships/hyperlink" Target="https://www.casamentos.pt/quintas-para-casamentos/quinta-da-lage-solar-do-burgues--e115391" TargetMode="External"/><Relationship Id="rId801" Type="http://schemas.openxmlformats.org/officeDocument/2006/relationships/hyperlink" Target="https://www.casamentos.pt/quintas-para-casamentos/quinta-das-tulipas--e112141" TargetMode="External"/><Relationship Id="rId40" Type="http://schemas.openxmlformats.org/officeDocument/2006/relationships/hyperlink" Target="https://www.casamentos.pt/quintas-para-casamentos/quinta-de-fajoes--e109276" TargetMode="External"/><Relationship Id="rId42" Type="http://schemas.openxmlformats.org/officeDocument/2006/relationships/hyperlink" Target="https://www.casamentos.pt/hotel-casamento/solar-do-alambique--e114189" TargetMode="External"/><Relationship Id="rId41" Type="http://schemas.openxmlformats.org/officeDocument/2006/relationships/hyperlink" Target="https://www.casamentos.pt/hotel-casamento/vale-do-rio-hotel-rural--e119592" TargetMode="External"/><Relationship Id="rId44" Type="http://schemas.openxmlformats.org/officeDocument/2006/relationships/hyperlink" Target="https://www.casamentos.pt/quintas-para-casamentos/quinta-dalem-da-ponte--e118032" TargetMode="External"/><Relationship Id="rId43" Type="http://schemas.openxmlformats.org/officeDocument/2006/relationships/hyperlink" Target="https://www.casamentos.pt/quintas-para-casamentos/casa-do-lago--e144945" TargetMode="External"/><Relationship Id="rId46" Type="http://schemas.openxmlformats.org/officeDocument/2006/relationships/hyperlink" Target="https://www.casamentos.pt/quintas-para-casamentos/green-house-events--e140765" TargetMode="External"/><Relationship Id="rId45" Type="http://schemas.openxmlformats.org/officeDocument/2006/relationships/hyperlink" Target="https://www.casamentos.pt/quintas-para-casamentos/quintinha-de-seitela--e77722" TargetMode="External"/><Relationship Id="rId509" Type="http://schemas.openxmlformats.org/officeDocument/2006/relationships/hyperlink" Target="https://www.casamentos.pt/hotel-casamento/hotel-vila-gale-sintra--e140407" TargetMode="External"/><Relationship Id="rId508" Type="http://schemas.openxmlformats.org/officeDocument/2006/relationships/hyperlink" Target="https://www.casamentos.pt/restaurantes-para-casamentos/restaurante-salero--e107559" TargetMode="External"/><Relationship Id="rId503" Type="http://schemas.openxmlformats.org/officeDocument/2006/relationships/hyperlink" Target="https://www.casamentos.pt/hotel-casamento/altis-avenida-hotel--e173165" TargetMode="External"/><Relationship Id="rId745" Type="http://schemas.openxmlformats.org/officeDocument/2006/relationships/hyperlink" Target="https://www.casamentos.pt/quintas-para-casamentos/quinta-do-padrao-rgi--e113957" TargetMode="External"/><Relationship Id="rId987" Type="http://schemas.openxmlformats.org/officeDocument/2006/relationships/hyperlink" Target="https://www.casamentos.pt/quintas-para-casamentos/quinta-da-freira--e77460" TargetMode="External"/><Relationship Id="rId502" Type="http://schemas.openxmlformats.org/officeDocument/2006/relationships/hyperlink" Target="https://www.casamentos.pt/hotel-casamento/unique-stays-charm-hotels--e107445" TargetMode="External"/><Relationship Id="rId744" Type="http://schemas.openxmlformats.org/officeDocument/2006/relationships/hyperlink" Target="https://www.casamentos.pt/quintas-para-casamentos/quinta-de-vilarinho-de-avioso--e100012" TargetMode="External"/><Relationship Id="rId986" Type="http://schemas.openxmlformats.org/officeDocument/2006/relationships/hyperlink" Target="https://www.casamentos.pt/restaurantes-para-casamentos/taverna-o-bobo-da-corte--e172997" TargetMode="External"/><Relationship Id="rId501" Type="http://schemas.openxmlformats.org/officeDocument/2006/relationships/hyperlink" Target="https://www.casamentos.pt/quintas-para-casamentos/quinta-do-pardal--e125635" TargetMode="External"/><Relationship Id="rId743" Type="http://schemas.openxmlformats.org/officeDocument/2006/relationships/hyperlink" Target="https://www.casamentos.pt/quintas-para-casamentos/quinta-da-serra--e46836" TargetMode="External"/><Relationship Id="rId985" Type="http://schemas.openxmlformats.org/officeDocument/2006/relationships/hyperlink" Target="https://www.casamentos.pt/quintas-para-casamentos/quinta-de-sao-payo-horas-felizes--e110043" TargetMode="External"/><Relationship Id="rId500" Type="http://schemas.openxmlformats.org/officeDocument/2006/relationships/hyperlink" Target="https://www.casamentos.pt/quintas-para-casamentos/quinta-vitor-cerqueira--e76515" TargetMode="External"/><Relationship Id="rId742" Type="http://schemas.openxmlformats.org/officeDocument/2006/relationships/hyperlink" Target="https://www.casamentos.pt/quintas-para-casamentos/quinta-da-casa-do-pinheiro--e112905" TargetMode="External"/><Relationship Id="rId984" Type="http://schemas.openxmlformats.org/officeDocument/2006/relationships/hyperlink" Target="https://www.casamentos.pt/quintas-para-casamentos/espaco-fortuna-artes-e-oficio-by-flavors-eventos--e95778" TargetMode="External"/><Relationship Id="rId507" Type="http://schemas.openxmlformats.org/officeDocument/2006/relationships/hyperlink" Target="https://www.casamentos.pt/restaurantes-para-casamentos/trindade--e158759" TargetMode="External"/><Relationship Id="rId749" Type="http://schemas.openxmlformats.org/officeDocument/2006/relationships/hyperlink" Target="https://www.casamentos.pt/quintas-para-casamentos/quinta-da-longra--e108087" TargetMode="External"/><Relationship Id="rId506" Type="http://schemas.openxmlformats.org/officeDocument/2006/relationships/hyperlink" Target="https://www.casamentos.pt/restaurantes-para-casamentos/clara-jardim-restaurante--e77447" TargetMode="External"/><Relationship Id="rId748" Type="http://schemas.openxmlformats.org/officeDocument/2006/relationships/hyperlink" Target="https://www.casamentos.pt/quintas-para-casamentos/a-casa-do-almocreve--e48431" TargetMode="External"/><Relationship Id="rId505" Type="http://schemas.openxmlformats.org/officeDocument/2006/relationships/hyperlink" Target="https://www.casamentos.pt/restaurantes-para-casamentos/usina-legado--e162591" TargetMode="External"/><Relationship Id="rId747" Type="http://schemas.openxmlformats.org/officeDocument/2006/relationships/hyperlink" Target="https://www.casamentos.pt/quintas-para-casamentos/quinta-da-costa--e111452" TargetMode="External"/><Relationship Id="rId989" Type="http://schemas.openxmlformats.org/officeDocument/2006/relationships/hyperlink" Target="https://www.casamentos.pt/quintas-para-casamentos/maria-joao-eventos-quinta-do-cerrado--e76230" TargetMode="External"/><Relationship Id="rId504" Type="http://schemas.openxmlformats.org/officeDocument/2006/relationships/hyperlink" Target="https://www.casamentos.pt/restaurantes-para-casamentos/lisbon-club--e123505" TargetMode="External"/><Relationship Id="rId746" Type="http://schemas.openxmlformats.org/officeDocument/2006/relationships/hyperlink" Target="https://www.casamentos.pt/quintas-para-casamentos/casa-salgueiro--e106082" TargetMode="External"/><Relationship Id="rId988" Type="http://schemas.openxmlformats.org/officeDocument/2006/relationships/hyperlink" Target="https://www.casamentos.pt/quintas-para-casamentos/quinta-valenciana--e77378" TargetMode="External"/><Relationship Id="rId48" Type="http://schemas.openxmlformats.org/officeDocument/2006/relationships/hyperlink" Target="https://www.casamentos.pt/hotel-casamento/hotel-exe-praia-golfe--e119742" TargetMode="External"/><Relationship Id="rId47" Type="http://schemas.openxmlformats.org/officeDocument/2006/relationships/hyperlink" Target="https://www.casamentos.pt/hotel-casamento/hotel-de-ilhavo--e111203" TargetMode="External"/><Relationship Id="rId49" Type="http://schemas.openxmlformats.org/officeDocument/2006/relationships/hyperlink" Target="https://www.casamentos.pt/quintas-para-casamentos/encosta-dos-tuneis--e175109" TargetMode="External"/><Relationship Id="rId741" Type="http://schemas.openxmlformats.org/officeDocument/2006/relationships/hyperlink" Target="https://www.casamentos.pt/quintas-para-casamentos/bruval-eventos--e172503" TargetMode="External"/><Relationship Id="rId983" Type="http://schemas.openxmlformats.org/officeDocument/2006/relationships/hyperlink" Target="https://www.casamentos.pt/quintas-para-casamentos/quinta-fonte-dos-trevos--e169583" TargetMode="External"/><Relationship Id="rId740" Type="http://schemas.openxmlformats.org/officeDocument/2006/relationships/hyperlink" Target="https://www.casamentos.pt/quintas-para-casamentos/tamaca-nature--e156047" TargetMode="External"/><Relationship Id="rId982" Type="http://schemas.openxmlformats.org/officeDocument/2006/relationships/hyperlink" Target="https://www.casamentos.pt/quintas-para-casamentos/lendaria--e106332" TargetMode="External"/><Relationship Id="rId981" Type="http://schemas.openxmlformats.org/officeDocument/2006/relationships/hyperlink" Target="https://www.casamentos.pt/restaurantes-para-casamentos/atira-te-ao-rio--e106675" TargetMode="External"/><Relationship Id="rId980" Type="http://schemas.openxmlformats.org/officeDocument/2006/relationships/hyperlink" Target="https://www.casamentos.pt/hotel-casamento/tryp-lisboa-caparica-mar--e50953" TargetMode="External"/><Relationship Id="rId31" Type="http://schemas.openxmlformats.org/officeDocument/2006/relationships/hyperlink" Target="https://www.casamentos.pt/quintas-para-casamentos/quinta-do-monte--e106010" TargetMode="External"/><Relationship Id="rId30" Type="http://schemas.openxmlformats.org/officeDocument/2006/relationships/hyperlink" Target="https://www.casamentos.pt/hotel-casamento/curia-palace--e51704" TargetMode="External"/><Relationship Id="rId33" Type="http://schemas.openxmlformats.org/officeDocument/2006/relationships/hyperlink" Target="https://www.casamentos.pt/quintas-para-casamentos/jardim-dos-aromas--e152497" TargetMode="External"/><Relationship Id="rId32" Type="http://schemas.openxmlformats.org/officeDocument/2006/relationships/hyperlink" Target="https://www.casamentos.pt/quintas-para-casamentos/quinta-das-azenhas-do-boco--e112553" TargetMode="External"/><Relationship Id="rId35" Type="http://schemas.openxmlformats.org/officeDocument/2006/relationships/hyperlink" Target="https://www.casamentos.pt/quintas-para-casamentos/quinta-do-mateus--e111983" TargetMode="External"/><Relationship Id="rId34" Type="http://schemas.openxmlformats.org/officeDocument/2006/relationships/hyperlink" Target="https://www.casamentos.pt/quintas-para-casamentos/casa-da-noquinhas--e149476" TargetMode="External"/><Relationship Id="rId739" Type="http://schemas.openxmlformats.org/officeDocument/2006/relationships/hyperlink" Target="https://www.casamentos.pt/quintas-para-casamentos/quinta-do-esporao--e50812" TargetMode="External"/><Relationship Id="rId734" Type="http://schemas.openxmlformats.org/officeDocument/2006/relationships/hyperlink" Target="https://www.casamentos.pt/quintas-para-casamentos/quinta-loureiro-eventos--e111994" TargetMode="External"/><Relationship Id="rId976" Type="http://schemas.openxmlformats.org/officeDocument/2006/relationships/hyperlink" Target="https://www.casamentos.pt/quintas-para-casamentos/quinta-do-patricio--e142435" TargetMode="External"/><Relationship Id="rId733" Type="http://schemas.openxmlformats.org/officeDocument/2006/relationships/hyperlink" Target="https://www.casamentos.pt/quintas-para-casamentos/casa-de-pedra--e137855" TargetMode="External"/><Relationship Id="rId975" Type="http://schemas.openxmlformats.org/officeDocument/2006/relationships/hyperlink" Target="https://www.casamentos.pt/quintas-para-casamentos/quintinha-dos-noivos--e77799" TargetMode="External"/><Relationship Id="rId732" Type="http://schemas.openxmlformats.org/officeDocument/2006/relationships/hyperlink" Target="https://www.casamentos.pt/restaurantes-para-casamentos/restaurante-tirsense--e106021" TargetMode="External"/><Relationship Id="rId974" Type="http://schemas.openxmlformats.org/officeDocument/2006/relationships/hyperlink" Target="https://www.casamentos.pt/quintas-para-casamentos/humus-farm--e126649" TargetMode="External"/><Relationship Id="rId731" Type="http://schemas.openxmlformats.org/officeDocument/2006/relationships/hyperlink" Target="https://www.casamentos.pt/quintas-para-casamentos/quinta-da-toca--e51409" TargetMode="External"/><Relationship Id="rId973" Type="http://schemas.openxmlformats.org/officeDocument/2006/relationships/hyperlink" Target="https://www.casamentos.pt/quintas-para-casamentos/quinta-de-sao-braz--e77049" TargetMode="External"/><Relationship Id="rId738" Type="http://schemas.openxmlformats.org/officeDocument/2006/relationships/hyperlink" Target="https://www.casamentos.pt/quintas-para-casamentos/casa-dos-cisnes--e49142" TargetMode="External"/><Relationship Id="rId737" Type="http://schemas.openxmlformats.org/officeDocument/2006/relationships/hyperlink" Target="https://www.casamentos.pt/quintas-para-casamentos/quinta-dos-pinheirais--e48008" TargetMode="External"/><Relationship Id="rId979" Type="http://schemas.openxmlformats.org/officeDocument/2006/relationships/hyperlink" Target="https://www.casamentos.pt/hotel-casamento/vila-park-nature-&amp;-business-hotel--e153453" TargetMode="External"/><Relationship Id="rId736" Type="http://schemas.openxmlformats.org/officeDocument/2006/relationships/hyperlink" Target="https://www.casamentos.pt/quintas-para-casamentos/quinta-do-burgues-solar-do-burgues--e53370" TargetMode="External"/><Relationship Id="rId978" Type="http://schemas.openxmlformats.org/officeDocument/2006/relationships/hyperlink" Target="https://www.casamentos.pt/quintas-para-casamentos/palacio-del-carmen--e90127" TargetMode="External"/><Relationship Id="rId735" Type="http://schemas.openxmlformats.org/officeDocument/2006/relationships/hyperlink" Target="https://www.casamentos.pt/quintas-para-casamentos/quinta-dos-souzas--e118884" TargetMode="External"/><Relationship Id="rId977" Type="http://schemas.openxmlformats.org/officeDocument/2006/relationships/hyperlink" Target="https://www.casamentos.pt/quintas-para-casamentos/herdade-de-algeruz-by-sal-catering--e158431" TargetMode="External"/><Relationship Id="rId37" Type="http://schemas.openxmlformats.org/officeDocument/2006/relationships/hyperlink" Target="https://www.casamentos.pt/quintas-para-casamentos/quinta-do-louredo--e87223" TargetMode="External"/><Relationship Id="rId36" Type="http://schemas.openxmlformats.org/officeDocument/2006/relationships/hyperlink" Target="https://www.casamentos.pt/quintas-para-casamentos/quinta-progresso--e76821" TargetMode="External"/><Relationship Id="rId39" Type="http://schemas.openxmlformats.org/officeDocument/2006/relationships/hyperlink" Target="https://www.casamentos.pt/quintas-para-casamentos/quinta-vieira--e114154" TargetMode="External"/><Relationship Id="rId38" Type="http://schemas.openxmlformats.org/officeDocument/2006/relationships/hyperlink" Target="https://www.casamentos.pt/quintas-para-casamentos/quinta-da-boavista--e107186" TargetMode="External"/><Relationship Id="rId730" Type="http://schemas.openxmlformats.org/officeDocument/2006/relationships/hyperlink" Target="https://www.casamentos.pt/quintas-para-casamentos/casa-do-rio--e49139" TargetMode="External"/><Relationship Id="rId972" Type="http://schemas.openxmlformats.org/officeDocument/2006/relationships/hyperlink" Target="https://www.casamentos.pt/quintas-para-casamentos/quinta-lagus-resort--e109077" TargetMode="External"/><Relationship Id="rId971" Type="http://schemas.openxmlformats.org/officeDocument/2006/relationships/hyperlink" Target="https://www.casamentos.pt/quintas-para-casamentos/manjar-das-laranjeiras--e109235" TargetMode="External"/><Relationship Id="rId970" Type="http://schemas.openxmlformats.org/officeDocument/2006/relationships/hyperlink" Target="https://www.casamentos.pt/restaurantes-para-casamentos/areias-da-telha--e127573" TargetMode="External"/><Relationship Id="rId1114" Type="http://schemas.openxmlformats.org/officeDocument/2006/relationships/hyperlink" Target="https://www.casamentos.pt/quintas-para-casamentos/quinta-do-recanto--e114751" TargetMode="External"/><Relationship Id="rId1115" Type="http://schemas.openxmlformats.org/officeDocument/2006/relationships/hyperlink" Target="https://www.casamentos.pt/hotel-casamento/golden-tulip-caramulo-hotel-&amp;-spa--e120622" TargetMode="External"/><Relationship Id="rId20" Type="http://schemas.openxmlformats.org/officeDocument/2006/relationships/hyperlink" Target="https://www.casamentos.pt/quintas-para-casamentos/quinta-outeiro-&amp;-sobreiro-real--e136289" TargetMode="External"/><Relationship Id="rId1116" Type="http://schemas.openxmlformats.org/officeDocument/2006/relationships/hyperlink" Target="https://www.casamentos.pt/quintas-para-casamentos/quinta-da-capela--e77494" TargetMode="External"/><Relationship Id="rId1117" Type="http://schemas.openxmlformats.org/officeDocument/2006/relationships/hyperlink" Target="https://www.casamentos.pt/quintas-para-casamentos/quinta-dos-magusteiros--e113549" TargetMode="External"/><Relationship Id="rId22" Type="http://schemas.openxmlformats.org/officeDocument/2006/relationships/hyperlink" Target="https://www.casamentos.pt/quintas-para-casamentos/quinta-loureiro-eventos--e111994" TargetMode="External"/><Relationship Id="rId1118" Type="http://schemas.openxmlformats.org/officeDocument/2006/relationships/hyperlink" Target="https://www.casamentos.pt/quintas-para-casamentos/quinta-do-medronheiro--e47814" TargetMode="External"/><Relationship Id="rId21" Type="http://schemas.openxmlformats.org/officeDocument/2006/relationships/hyperlink" Target="https://www.casamentos.pt/quintas-para-casamentos/o-carlos-quinta-do-moinho--e50971" TargetMode="External"/><Relationship Id="rId1119" Type="http://schemas.openxmlformats.org/officeDocument/2006/relationships/hyperlink" Target="https://www.casamentos.pt/quintas-para-casamentos/quinta-do-cisne--e105897" TargetMode="External"/><Relationship Id="rId24" Type="http://schemas.openxmlformats.org/officeDocument/2006/relationships/hyperlink" Target="https://www.casamentos.pt/quintas-para-casamentos/quinta-sol-da-cavada-velha--e149004" TargetMode="External"/><Relationship Id="rId23" Type="http://schemas.openxmlformats.org/officeDocument/2006/relationships/hyperlink" Target="https://www.casamentos.pt/quintas-para-casamentos/quinta-do-espigueiro--e112713" TargetMode="External"/><Relationship Id="rId525" Type="http://schemas.openxmlformats.org/officeDocument/2006/relationships/hyperlink" Target="https://www.casamentos.pt/quintas-para-casamentos/vale-de-fornos--e51682" TargetMode="External"/><Relationship Id="rId767" Type="http://schemas.openxmlformats.org/officeDocument/2006/relationships/hyperlink" Target="https://www.casamentos.pt/quintas-para-casamentos/quinta-de-sonhos--e50684" TargetMode="External"/><Relationship Id="rId524" Type="http://schemas.openxmlformats.org/officeDocument/2006/relationships/hyperlink" Target="https://www.casamentos.pt/quintas-para-casamentos/quinta-da-boavista--e160539" TargetMode="External"/><Relationship Id="rId766" Type="http://schemas.openxmlformats.org/officeDocument/2006/relationships/hyperlink" Target="https://www.casamentos.pt/quintas-para-casamentos/quinta-da-ferreirinha-solar-do-burgues--e115392" TargetMode="External"/><Relationship Id="rId523" Type="http://schemas.openxmlformats.org/officeDocument/2006/relationships/hyperlink" Target="https://www.casamentos.pt/quintas-para-casamentos/terra-lodge--e130125" TargetMode="External"/><Relationship Id="rId765" Type="http://schemas.openxmlformats.org/officeDocument/2006/relationships/hyperlink" Target="https://www.casamentos.pt/quintas-para-casamentos/hotel-quinta-royal--e162443" TargetMode="External"/><Relationship Id="rId522" Type="http://schemas.openxmlformats.org/officeDocument/2006/relationships/hyperlink" Target="https://www.casamentos.pt/quintas-para-casamentos/quinta-do-telhadouro--e123249" TargetMode="External"/><Relationship Id="rId764" Type="http://schemas.openxmlformats.org/officeDocument/2006/relationships/hyperlink" Target="https://www.casamentos.pt/quintas-para-casamentos/casa-maiato--e76657" TargetMode="External"/><Relationship Id="rId529" Type="http://schemas.openxmlformats.org/officeDocument/2006/relationships/hyperlink" Target="https://www.casamentos.pt/restaurantes-para-casamentos/mar-ao-largo--e153933" TargetMode="External"/><Relationship Id="rId528" Type="http://schemas.openxmlformats.org/officeDocument/2006/relationships/hyperlink" Target="https://www.casamentos.pt/restaurantes-para-casamentos/healthy-qb--e153721" TargetMode="External"/><Relationship Id="rId527" Type="http://schemas.openxmlformats.org/officeDocument/2006/relationships/hyperlink" Target="https://www.casamentos.pt/hotel-casamento/hotel-vila-gale-collection-palacio-dos-arcos--e106933" TargetMode="External"/><Relationship Id="rId769" Type="http://schemas.openxmlformats.org/officeDocument/2006/relationships/hyperlink" Target="https://www.casamentos.pt/quintas-para-casamentos/quinta-da-boavista--e160707" TargetMode="External"/><Relationship Id="rId526" Type="http://schemas.openxmlformats.org/officeDocument/2006/relationships/hyperlink" Target="https://www.casamentos.pt/hotel-casamento/you-and-the-sea--e173955" TargetMode="External"/><Relationship Id="rId768" Type="http://schemas.openxmlformats.org/officeDocument/2006/relationships/hyperlink" Target="https://www.casamentos.pt/quintas-para-casamentos/quinta-da-telheira-douro-wine--e168371" TargetMode="External"/><Relationship Id="rId26" Type="http://schemas.openxmlformats.org/officeDocument/2006/relationships/hyperlink" Target="https://www.casamentos.pt/quintas-para-casamentos/quinta-dona-aurora--e108177" TargetMode="External"/><Relationship Id="rId25" Type="http://schemas.openxmlformats.org/officeDocument/2006/relationships/hyperlink" Target="https://www.casamentos.pt/hotel-casamento/melia-ria-hotel-&amp;-spa--e106608" TargetMode="External"/><Relationship Id="rId28" Type="http://schemas.openxmlformats.org/officeDocument/2006/relationships/hyperlink" Target="https://www.casamentos.pt/quintas-para-casamentos/adega-rama--e100645" TargetMode="External"/><Relationship Id="rId27" Type="http://schemas.openxmlformats.org/officeDocument/2006/relationships/hyperlink" Target="https://www.casamentos.pt/quintas-para-casamentos/casa-das-ribas-quimeraglamour--e109473" TargetMode="External"/><Relationship Id="rId521" Type="http://schemas.openxmlformats.org/officeDocument/2006/relationships/hyperlink" Target="https://www.casamentos.pt/quintas-para-casamentos/quinta-da-paz--e118220" TargetMode="External"/><Relationship Id="rId763" Type="http://schemas.openxmlformats.org/officeDocument/2006/relationships/hyperlink" Target="https://www.casamentos.pt/quintas-para-casamentos/quinta-das-lages--e161521" TargetMode="External"/><Relationship Id="rId1110" Type="http://schemas.openxmlformats.org/officeDocument/2006/relationships/hyperlink" Target="https://www.casamentos.pt/quintas-para-casamentos/quinta-do-padeiro-panifex--e117812" TargetMode="External"/><Relationship Id="rId29" Type="http://schemas.openxmlformats.org/officeDocument/2006/relationships/hyperlink" Target="https://www.casamentos.pt/quintas-para-casamentos/quinta-d-arcos--e145391" TargetMode="External"/><Relationship Id="rId520" Type="http://schemas.openxmlformats.org/officeDocument/2006/relationships/hyperlink" Target="https://www.casamentos.pt/quintas-para-casamentos/pateo-da-vinha--e114135" TargetMode="External"/><Relationship Id="rId762" Type="http://schemas.openxmlformats.org/officeDocument/2006/relationships/hyperlink" Target="https://www.casamentos.pt/quintas-para-casamentos/quinta-do-sol--e141289" TargetMode="External"/><Relationship Id="rId1111" Type="http://schemas.openxmlformats.org/officeDocument/2006/relationships/hyperlink" Target="https://www.casamentos.pt/quintas-para-casamentos/solar-de-almeidinha--e114726" TargetMode="External"/><Relationship Id="rId761" Type="http://schemas.openxmlformats.org/officeDocument/2006/relationships/hyperlink" Target="https://www.casamentos.pt/quintas-para-casamentos/quinta-da-costa--e107350" TargetMode="External"/><Relationship Id="rId1112" Type="http://schemas.openxmlformats.org/officeDocument/2006/relationships/hyperlink" Target="https://www.casamentos.pt/quintas-para-casamentos/quinta-fontinha-da-pedra--e107230" TargetMode="External"/><Relationship Id="rId760" Type="http://schemas.openxmlformats.org/officeDocument/2006/relationships/hyperlink" Target="https://www.casamentos.pt/quintas-para-casamentos/quinta-do-avesso--e120634" TargetMode="External"/><Relationship Id="rId1113" Type="http://schemas.openxmlformats.org/officeDocument/2006/relationships/hyperlink" Target="https://www.casamentos.pt/quintas-para-casamentos/quinta-da-maria--e170673" TargetMode="External"/><Relationship Id="rId1103" Type="http://schemas.openxmlformats.org/officeDocument/2006/relationships/hyperlink" Target="https://www.casamentos.pt/hotel-casamento/hotel-urgeirica--e110349" TargetMode="External"/><Relationship Id="rId1104" Type="http://schemas.openxmlformats.org/officeDocument/2006/relationships/hyperlink" Target="https://www.casamentos.pt/hotel-casamento/montebelo-viseu-hotel-&amp;-spa--e51048" TargetMode="External"/><Relationship Id="rId1105" Type="http://schemas.openxmlformats.org/officeDocument/2006/relationships/hyperlink" Target="https://www.casamentos.pt/quintas-para-casamentos/quinta-do-barreiro--e51657" TargetMode="External"/><Relationship Id="rId1106" Type="http://schemas.openxmlformats.org/officeDocument/2006/relationships/hyperlink" Target="https://www.casamentos.pt/quintas-para-casamentos/quinta-darroteia--e108938" TargetMode="External"/><Relationship Id="rId11" Type="http://schemas.openxmlformats.org/officeDocument/2006/relationships/hyperlink" Target="https://www.casamentos.pt/hotel-casamento/hostel-da-praca--e118842" TargetMode="External"/><Relationship Id="rId1107" Type="http://schemas.openxmlformats.org/officeDocument/2006/relationships/hyperlink" Target="https://www.casamentos.pt/hotel-casamento/vila-gale-douro-vineyards--e140499" TargetMode="External"/><Relationship Id="rId10" Type="http://schemas.openxmlformats.org/officeDocument/2006/relationships/hyperlink" Target="https://www.casamentos.pt/quintas-para-casamentos/casa-dos-maias--e46994" TargetMode="External"/><Relationship Id="rId1108" Type="http://schemas.openxmlformats.org/officeDocument/2006/relationships/hyperlink" Target="https://www.casamentos.pt/hotel-casamento/hotel-rural-convento-n-sra-do-carmo--e106619" TargetMode="External"/><Relationship Id="rId13" Type="http://schemas.openxmlformats.org/officeDocument/2006/relationships/hyperlink" Target="https://www.casamentos.pt/hotel-casamento/casa-noronha-lima-historic-stay--e168909" TargetMode="External"/><Relationship Id="rId1109" Type="http://schemas.openxmlformats.org/officeDocument/2006/relationships/hyperlink" Target="https://www.casamentos.pt/quintas-para-casamentos/quinta-dos-monteirinhos--e176595" TargetMode="External"/><Relationship Id="rId12" Type="http://schemas.openxmlformats.org/officeDocument/2006/relationships/hyperlink" Target="https://www.casamentos.pt/quintas-para-casamentos/quinta-da-avistada--e107014" TargetMode="External"/><Relationship Id="rId519" Type="http://schemas.openxmlformats.org/officeDocument/2006/relationships/hyperlink" Target="https://www.casamentos.pt/quintas-para-casamentos/quinta-o-refugio--e165741" TargetMode="External"/><Relationship Id="rId514" Type="http://schemas.openxmlformats.org/officeDocument/2006/relationships/hyperlink" Target="https://www.casamentos.pt/quintas-para-casamentos/quinta-da-tareca-grupo-vitor-cerqueira--e143141" TargetMode="External"/><Relationship Id="rId756" Type="http://schemas.openxmlformats.org/officeDocument/2006/relationships/hyperlink" Target="https://www.casamentos.pt/restaurantes-para-casamentos/restaurante-montanha-azul--e91199" TargetMode="External"/><Relationship Id="rId998" Type="http://schemas.openxmlformats.org/officeDocument/2006/relationships/hyperlink" Target="https://www.casamentos.pt/quintas-para-casamentos/herdade-do-monte-novo-by-imppacto--e78210" TargetMode="External"/><Relationship Id="rId513" Type="http://schemas.openxmlformats.org/officeDocument/2006/relationships/hyperlink" Target="https://www.casamentos.pt/quintas-para-casamentos/quinta-dos-pizoes--e76528" TargetMode="External"/><Relationship Id="rId755" Type="http://schemas.openxmlformats.org/officeDocument/2006/relationships/hyperlink" Target="https://www.casamentos.pt/hotel-casamento/paredes-design-hotel--e76783" TargetMode="External"/><Relationship Id="rId997" Type="http://schemas.openxmlformats.org/officeDocument/2006/relationships/hyperlink" Target="https://www.casamentos.pt/quintas-para-casamentos/quinta-da-regateira--e76010" TargetMode="External"/><Relationship Id="rId512" Type="http://schemas.openxmlformats.org/officeDocument/2006/relationships/hyperlink" Target="https://www.casamentos.pt/restaurantes-para-casamentos/berrio-restaurante-e-terrace--e129177" TargetMode="External"/><Relationship Id="rId754" Type="http://schemas.openxmlformats.org/officeDocument/2006/relationships/hyperlink" Target="https://www.casamentos.pt/hotel-casamento/villa-c-boutique-hotel--e77105" TargetMode="External"/><Relationship Id="rId996" Type="http://schemas.openxmlformats.org/officeDocument/2006/relationships/hyperlink" Target="https://www.casamentos.pt/restaurantes-para-casamentos/cabana-do-pescador--e97489" TargetMode="External"/><Relationship Id="rId511" Type="http://schemas.openxmlformats.org/officeDocument/2006/relationships/hyperlink" Target="https://www.casamentos.pt/quintas-para-casamentos/quinta-de-monfalim--e50676" TargetMode="External"/><Relationship Id="rId753" Type="http://schemas.openxmlformats.org/officeDocument/2006/relationships/hyperlink" Target="https://www.casamentos.pt/quintas-para-casamentos/casa-da-granja--e172413" TargetMode="External"/><Relationship Id="rId995" Type="http://schemas.openxmlformats.org/officeDocument/2006/relationships/hyperlink" Target="https://www.casamentos.pt/hotel-casamento/crowne-plaza-caparica-lisbon--e107947" TargetMode="External"/><Relationship Id="rId518" Type="http://schemas.openxmlformats.org/officeDocument/2006/relationships/hyperlink" Target="https://www.casamentos.pt/quintas-para-casamentos/quinta-da-fonte-eventos--e111812" TargetMode="External"/><Relationship Id="rId517" Type="http://schemas.openxmlformats.org/officeDocument/2006/relationships/hyperlink" Target="https://www.casamentos.pt/restaurantes-para-casamentos/restaurante-can-the-can--e106586" TargetMode="External"/><Relationship Id="rId759" Type="http://schemas.openxmlformats.org/officeDocument/2006/relationships/hyperlink" Target="https://www.casamentos.pt/quintas-para-casamentos/quinta-da-bandeirinha--e113941" TargetMode="External"/><Relationship Id="rId516" Type="http://schemas.openxmlformats.org/officeDocument/2006/relationships/hyperlink" Target="https://www.casamentos.pt/quintas-para-casamentos/quinta-do-camejo--e51111" TargetMode="External"/><Relationship Id="rId758" Type="http://schemas.openxmlformats.org/officeDocument/2006/relationships/hyperlink" Target="https://www.casamentos.pt/quintas-para-casamentos/aloha--e115786" TargetMode="External"/><Relationship Id="rId515" Type="http://schemas.openxmlformats.org/officeDocument/2006/relationships/hyperlink" Target="https://www.casamentos.pt/quintas-para-casamentos/quinta-da-tojeira-petals-avenue-eventos--e127179" TargetMode="External"/><Relationship Id="rId757" Type="http://schemas.openxmlformats.org/officeDocument/2006/relationships/hyperlink" Target="https://www.casamentos.pt/restaurantes-para-casamentos/velvet--e119424" TargetMode="External"/><Relationship Id="rId999" Type="http://schemas.openxmlformats.org/officeDocument/2006/relationships/hyperlink" Target="https://www.casamentos.pt/quintas-para-casamentos/monte-do-giestal--e135865" TargetMode="External"/><Relationship Id="rId15" Type="http://schemas.openxmlformats.org/officeDocument/2006/relationships/hyperlink" Target="https://www.casamentos.pt/quintas-para-casamentos/quinta-do-palhal--e176903" TargetMode="External"/><Relationship Id="rId990" Type="http://schemas.openxmlformats.org/officeDocument/2006/relationships/hyperlink" Target="https://www.casamentos.pt/quintas-para-casamentos/quinta-das-riscas--e90241" TargetMode="External"/><Relationship Id="rId14" Type="http://schemas.openxmlformats.org/officeDocument/2006/relationships/hyperlink" Target="https://www.casamentos.pt/quintas-para-casamentos/sitio-amores-perfeitos--e132917" TargetMode="External"/><Relationship Id="rId17" Type="http://schemas.openxmlformats.org/officeDocument/2006/relationships/hyperlink" Target="https://www.casamentos.pt/quintas-para-casamentos/sitio-dos-oliveiras--e48234" TargetMode="External"/><Relationship Id="rId16" Type="http://schemas.openxmlformats.org/officeDocument/2006/relationships/hyperlink" Target="https://www.casamentos.pt/quintas-para-casamentos/casa-da-regueira--e108161" TargetMode="External"/><Relationship Id="rId19" Type="http://schemas.openxmlformats.org/officeDocument/2006/relationships/hyperlink" Target="https://www.casamentos.pt/hotel-casamento/hotel-s-pedro--e105934" TargetMode="External"/><Relationship Id="rId510" Type="http://schemas.openxmlformats.org/officeDocument/2006/relationships/hyperlink" Target="https://www.casamentos.pt/hotel-casamento/palacio-do-visconde-the-coffee-experience--e154881" TargetMode="External"/><Relationship Id="rId752" Type="http://schemas.openxmlformats.org/officeDocument/2006/relationships/hyperlink" Target="https://www.casamentos.pt/quintas-para-casamentos/casa-da-eira-de-tardariz--e115095" TargetMode="External"/><Relationship Id="rId994" Type="http://schemas.openxmlformats.org/officeDocument/2006/relationships/hyperlink" Target="https://www.casamentos.pt/quintas-para-casamentos/casal-do-frade--e111170" TargetMode="External"/><Relationship Id="rId18" Type="http://schemas.openxmlformats.org/officeDocument/2006/relationships/hyperlink" Target="https://www.casamentos.pt/quintas-para-casamentos/quinta-do-lano--e50589" TargetMode="External"/><Relationship Id="rId751" Type="http://schemas.openxmlformats.org/officeDocument/2006/relationships/hyperlink" Target="https://www.casamentos.pt/quintas-para-casamentos/casa-dos-meus-avos--e156317" TargetMode="External"/><Relationship Id="rId993" Type="http://schemas.openxmlformats.org/officeDocument/2006/relationships/hyperlink" Target="https://www.casamentos.pt/quintas-para-casamentos/herdade-do-moinho-novo--e110216" TargetMode="External"/><Relationship Id="rId1100" Type="http://schemas.openxmlformats.org/officeDocument/2006/relationships/hyperlink" Target="https://www.casamentos.pt/hotel-casamento/douro-hotel-porto-antigo--e113567" TargetMode="External"/><Relationship Id="rId750" Type="http://schemas.openxmlformats.org/officeDocument/2006/relationships/hyperlink" Target="https://www.casamentos.pt/quintas-para-casamentos/aventuras-no-prato--e132633" TargetMode="External"/><Relationship Id="rId992" Type="http://schemas.openxmlformats.org/officeDocument/2006/relationships/hyperlink" Target="https://www.casamentos.pt/quintas-para-casamentos/turim-club-dazeitao--e113586" TargetMode="External"/><Relationship Id="rId1101" Type="http://schemas.openxmlformats.org/officeDocument/2006/relationships/hyperlink" Target="https://www.casamentos.pt/quintas-para-casamentos/quinta-do-lameiro--e111142" TargetMode="External"/><Relationship Id="rId991" Type="http://schemas.openxmlformats.org/officeDocument/2006/relationships/hyperlink" Target="https://www.casamentos.pt/quintas-para-casamentos/quinta-do-cantador--e164665" TargetMode="External"/><Relationship Id="rId1102" Type="http://schemas.openxmlformats.org/officeDocument/2006/relationships/hyperlink" Target="https://www.casamentos.pt/quintas-para-casamentos/quinta-da-ribeira--e168279" TargetMode="External"/><Relationship Id="rId84" Type="http://schemas.openxmlformats.org/officeDocument/2006/relationships/hyperlink" Target="https://www.casamentos.pt/quintas-para-casamentos/quinta-de-santa-marta--e109827" TargetMode="External"/><Relationship Id="rId83" Type="http://schemas.openxmlformats.org/officeDocument/2006/relationships/hyperlink" Target="https://www.casamentos.pt/quintas-para-casamentos/quinta-de-santa-comba--e50679" TargetMode="External"/><Relationship Id="rId86" Type="http://schemas.openxmlformats.org/officeDocument/2006/relationships/hyperlink" Target="https://www.casamentos.pt/quintas-para-casamentos/quinta-do-farejal--e140495" TargetMode="External"/><Relationship Id="rId85" Type="http://schemas.openxmlformats.org/officeDocument/2006/relationships/hyperlink" Target="https://www.casamentos.pt/quintas-para-casamentos/quinta-do-rio-geres--e109014" TargetMode="External"/><Relationship Id="rId88" Type="http://schemas.openxmlformats.org/officeDocument/2006/relationships/hyperlink" Target="https://www.casamentos.pt/restaurantes-para-casamentos/com-requinte-guimaraes--e165035" TargetMode="External"/><Relationship Id="rId87" Type="http://schemas.openxmlformats.org/officeDocument/2006/relationships/hyperlink" Target="https://www.casamentos.pt/quintas-para-casamentos/casa-do-lindo--e147645" TargetMode="External"/><Relationship Id="rId89" Type="http://schemas.openxmlformats.org/officeDocument/2006/relationships/hyperlink" Target="https://www.casamentos.pt/quintas-para-casamentos/quinta-do-esporao--e50812" TargetMode="External"/><Relationship Id="rId709" Type="http://schemas.openxmlformats.org/officeDocument/2006/relationships/hyperlink" Target="https://www.casamentos.pt/quintas-para-casamentos/quinta-de-oleiros-2tomoments--e120202" TargetMode="External"/><Relationship Id="rId708" Type="http://schemas.openxmlformats.org/officeDocument/2006/relationships/hyperlink" Target="https://www.casamentos.pt/quintas-para-casamentos/casa-de-vilacetinho--e77826" TargetMode="External"/><Relationship Id="rId707" Type="http://schemas.openxmlformats.org/officeDocument/2006/relationships/hyperlink" Target="https://www.casamentos.pt/quintas-para-casamentos/casa-dos-arcos-sao-mamede--e105753" TargetMode="External"/><Relationship Id="rId949" Type="http://schemas.openxmlformats.org/officeDocument/2006/relationships/hyperlink" Target="https://www.casamentos.pt/hotel-casamento/hotel-dos-zimbros--e113627" TargetMode="External"/><Relationship Id="rId706" Type="http://schemas.openxmlformats.org/officeDocument/2006/relationships/hyperlink" Target="https://www.casamentos.pt/quintas-para-casamentos/casa-de-sam-thiago--e76320" TargetMode="External"/><Relationship Id="rId948" Type="http://schemas.openxmlformats.org/officeDocument/2006/relationships/hyperlink" Target="https://www.casamentos.pt/quintas-para-casamentos/quinta-das-glicinias--e50590" TargetMode="External"/><Relationship Id="rId80" Type="http://schemas.openxmlformats.org/officeDocument/2006/relationships/hyperlink" Target="https://www.casamentos.pt/hotel-casamento/hotel-falperra--e81882" TargetMode="External"/><Relationship Id="rId82" Type="http://schemas.openxmlformats.org/officeDocument/2006/relationships/hyperlink" Target="https://www.casamentos.pt/quintas-para-casamentos/quinta-davila--e114068" TargetMode="External"/><Relationship Id="rId81" Type="http://schemas.openxmlformats.org/officeDocument/2006/relationships/hyperlink" Target="https://www.casamentos.pt/quintas-para-casamentos/fatima-e-cunha--e107310" TargetMode="External"/><Relationship Id="rId701" Type="http://schemas.openxmlformats.org/officeDocument/2006/relationships/hyperlink" Target="https://www.casamentos.pt/hotel-casamento/hotel-axis-vermar--e77133" TargetMode="External"/><Relationship Id="rId943" Type="http://schemas.openxmlformats.org/officeDocument/2006/relationships/hyperlink" Target="https://www.casamentos.pt/restaurantes-para-casamentos/tasca-do-bife--e127149" TargetMode="External"/><Relationship Id="rId700" Type="http://schemas.openxmlformats.org/officeDocument/2006/relationships/hyperlink" Target="https://www.casamentos.pt/quintas-para-casamentos/quinta-das-raparigas--e77465" TargetMode="External"/><Relationship Id="rId942" Type="http://schemas.openxmlformats.org/officeDocument/2006/relationships/hyperlink" Target="https://www.casamentos.pt/quintas-para-casamentos/quinta-monteiro-de-matos--e141231" TargetMode="External"/><Relationship Id="rId941" Type="http://schemas.openxmlformats.org/officeDocument/2006/relationships/hyperlink" Target="https://www.casamentos.pt/hotel-casamento/luz-houses--e110942" TargetMode="External"/><Relationship Id="rId940" Type="http://schemas.openxmlformats.org/officeDocument/2006/relationships/hyperlink" Target="https://www.casamentos.pt/quintas-para-casamentos/quinta-nova--e93068" TargetMode="External"/><Relationship Id="rId705" Type="http://schemas.openxmlformats.org/officeDocument/2006/relationships/hyperlink" Target="https://www.casamentos.pt/quintas-para-casamentos/quinta-das-silveiras--e105639" TargetMode="External"/><Relationship Id="rId947" Type="http://schemas.openxmlformats.org/officeDocument/2006/relationships/hyperlink" Target="https://www.casamentos.pt/quintas-para-casamentos/santiago-maior--e119388" TargetMode="External"/><Relationship Id="rId704" Type="http://schemas.openxmlformats.org/officeDocument/2006/relationships/hyperlink" Target="https://www.casamentos.pt/quintas-para-casamentos/quinta-salgueirinhos--e90987" TargetMode="External"/><Relationship Id="rId946" Type="http://schemas.openxmlformats.org/officeDocument/2006/relationships/hyperlink" Target="https://www.casamentos.pt/restaurantes-para-casamentos/restaurante-clube-capitulo--e114851" TargetMode="External"/><Relationship Id="rId703" Type="http://schemas.openxmlformats.org/officeDocument/2006/relationships/hyperlink" Target="https://www.casamentos.pt/restaurantes-para-casamentos/jangal-gastro-bar--e168829" TargetMode="External"/><Relationship Id="rId945" Type="http://schemas.openxmlformats.org/officeDocument/2006/relationships/hyperlink" Target="https://www.casamentos.pt/restaurantes-para-casamentos/mundet-factory--e152903" TargetMode="External"/><Relationship Id="rId702" Type="http://schemas.openxmlformats.org/officeDocument/2006/relationships/hyperlink" Target="https://www.casamentos.pt/restaurantes-para-casamentos/restaurante-caetano--e172531" TargetMode="External"/><Relationship Id="rId944" Type="http://schemas.openxmlformats.org/officeDocument/2006/relationships/hyperlink" Target="https://www.casamentos.pt/quintas-para-casamentos/quinta-da-luz--e172357" TargetMode="External"/><Relationship Id="rId73" Type="http://schemas.openxmlformats.org/officeDocument/2006/relationships/hyperlink" Target="https://www.casamentos.pt/quintas-para-casamentos/casa-fundevila--e107101" TargetMode="External"/><Relationship Id="rId72" Type="http://schemas.openxmlformats.org/officeDocument/2006/relationships/hyperlink" Target="https://www.casamentos.pt/quintas-para-casamentos/avo-moleiro-country-house--e158489" TargetMode="External"/><Relationship Id="rId75" Type="http://schemas.openxmlformats.org/officeDocument/2006/relationships/hyperlink" Target="https://www.casamentos.pt/restaurantes-para-casamentos/restaurante-angelorum--e131687" TargetMode="External"/><Relationship Id="rId74" Type="http://schemas.openxmlformats.org/officeDocument/2006/relationships/hyperlink" Target="https://www.casamentos.pt/quintas-para-casamentos/casa-de-mosqueiros--e105492" TargetMode="External"/><Relationship Id="rId77" Type="http://schemas.openxmlformats.org/officeDocument/2006/relationships/hyperlink" Target="https://www.casamentos.pt/quintas-para-casamentos/quinta-rei-do-leitao--e90916" TargetMode="External"/><Relationship Id="rId76" Type="http://schemas.openxmlformats.org/officeDocument/2006/relationships/hyperlink" Target="https://www.casamentos.pt/quintas-para-casamentos/quinta-bem-cozinhado--e106793" TargetMode="External"/><Relationship Id="rId79" Type="http://schemas.openxmlformats.org/officeDocument/2006/relationships/hyperlink" Target="https://www.casamentos.pt/hotel-casamento/axis-ofir-beach-resort-hotel--e77137" TargetMode="External"/><Relationship Id="rId78" Type="http://schemas.openxmlformats.org/officeDocument/2006/relationships/hyperlink" Target="https://www.casamentos.pt/quintas-para-casamentos/vale-do-sol-eventos--e123755" TargetMode="External"/><Relationship Id="rId939" Type="http://schemas.openxmlformats.org/officeDocument/2006/relationships/hyperlink" Target="https://www.casamentos.pt/quintas-para-casamentos/a-tufeira--e105429" TargetMode="External"/><Relationship Id="rId938" Type="http://schemas.openxmlformats.org/officeDocument/2006/relationships/hyperlink" Target="https://www.casamentos.pt/quintas-para-casamentos/quinta-das-carrascosas--e107482" TargetMode="External"/><Relationship Id="rId937" Type="http://schemas.openxmlformats.org/officeDocument/2006/relationships/hyperlink" Target="https://www.casamentos.pt/quintas-para-casamentos/casa-da-avo-genoveva--e90273" TargetMode="External"/><Relationship Id="rId71" Type="http://schemas.openxmlformats.org/officeDocument/2006/relationships/hyperlink" Target="https://www.casamentos.pt/hotel-casamento/hoteis-do-bom-jesus--e111375" TargetMode="External"/><Relationship Id="rId70" Type="http://schemas.openxmlformats.org/officeDocument/2006/relationships/hyperlink" Target="https://www.casamentos.pt/hotel-casamento/eurostars-santa-luzia--e175853" TargetMode="External"/><Relationship Id="rId932" Type="http://schemas.openxmlformats.org/officeDocument/2006/relationships/hyperlink" Target="https://www.casamentos.pt/hotel-casamento/alma-terra-hotel-boutique-&amp;-spa--e93001" TargetMode="External"/><Relationship Id="rId931" Type="http://schemas.openxmlformats.org/officeDocument/2006/relationships/hyperlink" Target="https://www.casamentos.pt/quintas-para-casamentos/o-solar-da-charneca--e93131" TargetMode="External"/><Relationship Id="rId930" Type="http://schemas.openxmlformats.org/officeDocument/2006/relationships/hyperlink" Target="https://www.casamentos.pt/quintas-para-casamentos/quinta-do-palhas--e47752" TargetMode="External"/><Relationship Id="rId936" Type="http://schemas.openxmlformats.org/officeDocument/2006/relationships/hyperlink" Target="https://www.casamentos.pt/quintas-para-casamentos/quinta-da-ramila--e111725" TargetMode="External"/><Relationship Id="rId935" Type="http://schemas.openxmlformats.org/officeDocument/2006/relationships/hyperlink" Target="https://www.casamentos.pt/quintas-para-casamentos/cacabrava--e146169" TargetMode="External"/><Relationship Id="rId934" Type="http://schemas.openxmlformats.org/officeDocument/2006/relationships/hyperlink" Target="https://www.casamentos.pt/quintas-para-casamentos/quinta-de-dom-nuno--e77649" TargetMode="External"/><Relationship Id="rId933" Type="http://schemas.openxmlformats.org/officeDocument/2006/relationships/hyperlink" Target="https://www.casamentos.pt/quintas-para-casamentos/agro-quinta-de-s-gens--e104551" TargetMode="External"/><Relationship Id="rId62" Type="http://schemas.openxmlformats.org/officeDocument/2006/relationships/hyperlink" Target="https://www.casamentos.pt/quintas-para-casamentos/casa-de-abis--e106402" TargetMode="External"/><Relationship Id="rId61" Type="http://schemas.openxmlformats.org/officeDocument/2006/relationships/hyperlink" Target="https://www.casamentos.pt/quintas-para-casamentos/quinta-da-devesa--e51451" TargetMode="External"/><Relationship Id="rId64" Type="http://schemas.openxmlformats.org/officeDocument/2006/relationships/hyperlink" Target="https://www.casamentos.pt/salao-para-casamento/monte-fernao-dias--e113574" TargetMode="External"/><Relationship Id="rId63" Type="http://schemas.openxmlformats.org/officeDocument/2006/relationships/hyperlink" Target="https://www.casamentos.pt/hotel-casamento/ms-collection-arouca--e173357" TargetMode="External"/><Relationship Id="rId66" Type="http://schemas.openxmlformats.org/officeDocument/2006/relationships/hyperlink" Target="https://www.casamentos.pt/salao-para-casamento/casa-das-talhas--e137377" TargetMode="External"/><Relationship Id="rId65" Type="http://schemas.openxmlformats.org/officeDocument/2006/relationships/hyperlink" Target="https://www.casamentos.pt/quintas-para-casamentos/magic-valley--e170281" TargetMode="External"/><Relationship Id="rId68" Type="http://schemas.openxmlformats.org/officeDocument/2006/relationships/hyperlink" Target="https://www.casamentos.pt/restaurantes-para-casamentos/restaurante-a-casa--e169929" TargetMode="External"/><Relationship Id="rId67" Type="http://schemas.openxmlformats.org/officeDocument/2006/relationships/hyperlink" Target="https://www.casamentos.pt/quintas-para-casamentos/quintinha-girassol--e105810" TargetMode="External"/><Relationship Id="rId729" Type="http://schemas.openxmlformats.org/officeDocument/2006/relationships/hyperlink" Target="https://www.casamentos.pt/quintas-para-casamentos/quinta-da-salete--e165309" TargetMode="External"/><Relationship Id="rId728" Type="http://schemas.openxmlformats.org/officeDocument/2006/relationships/hyperlink" Target="https://www.casamentos.pt/quintas-para-casamentos/quinta-davila--e114068" TargetMode="External"/><Relationship Id="rId60" Type="http://schemas.openxmlformats.org/officeDocument/2006/relationships/hyperlink" Target="https://www.casamentos.pt/quintas-para-casamentos/quinta-do-encontro--e110319" TargetMode="External"/><Relationship Id="rId723" Type="http://schemas.openxmlformats.org/officeDocument/2006/relationships/hyperlink" Target="https://www.casamentos.pt/hotel-casamento/castelo-santa-catarina--e49010" TargetMode="External"/><Relationship Id="rId965" Type="http://schemas.openxmlformats.org/officeDocument/2006/relationships/hyperlink" Target="https://www.casamentos.pt/quintas-para-casamentos/quinta-dos-sonhos--e51660" TargetMode="External"/><Relationship Id="rId722" Type="http://schemas.openxmlformats.org/officeDocument/2006/relationships/hyperlink" Target="https://www.casamentos.pt/quintas-para-casamentos/aquario-eventos--e110708" TargetMode="External"/><Relationship Id="rId964" Type="http://schemas.openxmlformats.org/officeDocument/2006/relationships/hyperlink" Target="https://www.casamentos.pt/restaurantes-para-casamentos/lisboa-a-vista--e129319" TargetMode="External"/><Relationship Id="rId721" Type="http://schemas.openxmlformats.org/officeDocument/2006/relationships/hyperlink" Target="https://www.casamentos.pt/quintas-para-casamentos/casa-miguel--e108612" TargetMode="External"/><Relationship Id="rId963" Type="http://schemas.openxmlformats.org/officeDocument/2006/relationships/hyperlink" Target="https://www.casamentos.pt/restaurantes-para-casamentos/o-zeca-restaurante-bar--e142425" TargetMode="External"/><Relationship Id="rId720" Type="http://schemas.openxmlformats.org/officeDocument/2006/relationships/hyperlink" Target="https://www.casamentos.pt/quintas-para-casamentos/casa-de-agrello--e169879" TargetMode="External"/><Relationship Id="rId962" Type="http://schemas.openxmlformats.org/officeDocument/2006/relationships/hyperlink" Target="https://www.casamentos.pt/hotel-casamento/inatel-caparica--e106691" TargetMode="External"/><Relationship Id="rId727" Type="http://schemas.openxmlformats.org/officeDocument/2006/relationships/hyperlink" Target="https://www.casamentos.pt/quintas-para-casamentos/quinta-da-boucinha--e77611" TargetMode="External"/><Relationship Id="rId969" Type="http://schemas.openxmlformats.org/officeDocument/2006/relationships/hyperlink" Target="https://www.casamentos.pt/restaurantes-para-casamentos/alfoz-eventos--e51120" TargetMode="External"/><Relationship Id="rId726" Type="http://schemas.openxmlformats.org/officeDocument/2006/relationships/hyperlink" Target="https://www.casamentos.pt/restaurantes-para-casamentos/cacau-wine-terrace--e160521" TargetMode="External"/><Relationship Id="rId968" Type="http://schemas.openxmlformats.org/officeDocument/2006/relationships/hyperlink" Target="https://www.casamentos.pt/quintas-para-casamentos/solar-dos-principes--e107573" TargetMode="External"/><Relationship Id="rId725" Type="http://schemas.openxmlformats.org/officeDocument/2006/relationships/hyperlink" Target="https://www.casamentos.pt/restaurantes-para-casamentos/restaurante-queda-dagua--e112595" TargetMode="External"/><Relationship Id="rId967" Type="http://schemas.openxmlformats.org/officeDocument/2006/relationships/hyperlink" Target="https://www.casamentos.pt/quintas-para-casamentos/quinta-do-branco-eventos-na-margem-sul--e97463" TargetMode="External"/><Relationship Id="rId724" Type="http://schemas.openxmlformats.org/officeDocument/2006/relationships/hyperlink" Target="https://www.casamentos.pt/hotel-casamento/penafiel-park-hotel--e77053" TargetMode="External"/><Relationship Id="rId966" Type="http://schemas.openxmlformats.org/officeDocument/2006/relationships/hyperlink" Target="https://www.casamentos.pt/quintas-para-casamentos/quinta-moinho-da-praia--e90082" TargetMode="External"/><Relationship Id="rId69" Type="http://schemas.openxmlformats.org/officeDocument/2006/relationships/hyperlink" Target="https://www.casamentos.pt/quintas-para-casamentos/quinta-do-roque--e107205" TargetMode="External"/><Relationship Id="rId961" Type="http://schemas.openxmlformats.org/officeDocument/2006/relationships/hyperlink" Target="https://www.casamentos.pt/hotel-casamento/montado-hotel-&amp;-golf-resort--e140905" TargetMode="External"/><Relationship Id="rId960" Type="http://schemas.openxmlformats.org/officeDocument/2006/relationships/hyperlink" Target="https://www.casamentos.pt/quintas-para-casamentos/monte-cabeco-do-ouro--e107433" TargetMode="External"/><Relationship Id="rId51" Type="http://schemas.openxmlformats.org/officeDocument/2006/relationships/hyperlink" Target="https://www.casamentos.pt/quintas-para-casamentos/pousio-eventos--e112184" TargetMode="External"/><Relationship Id="rId50" Type="http://schemas.openxmlformats.org/officeDocument/2006/relationships/hyperlink" Target="https://www.casamentos.pt/quintas-para-casamentos/quinta-do-caima--e115287" TargetMode="External"/><Relationship Id="rId53" Type="http://schemas.openxmlformats.org/officeDocument/2006/relationships/hyperlink" Target="https://www.casamentos.pt/quintas-para-casamentos/quinta-dos-bellos--e109397" TargetMode="External"/><Relationship Id="rId52" Type="http://schemas.openxmlformats.org/officeDocument/2006/relationships/hyperlink" Target="https://www.casamentos.pt/quintas-para-casamentos/quinta-da-costa--e109143" TargetMode="External"/><Relationship Id="rId55" Type="http://schemas.openxmlformats.org/officeDocument/2006/relationships/hyperlink" Target="https://www.casamentos.pt/quintas-para-casamentos/quinta-largo-da-vila--e164311" TargetMode="External"/><Relationship Id="rId54" Type="http://schemas.openxmlformats.org/officeDocument/2006/relationships/hyperlink" Target="https://www.casamentos.pt/quintas-para-casamentos/quinta-de-alvre--e109734" TargetMode="External"/><Relationship Id="rId57" Type="http://schemas.openxmlformats.org/officeDocument/2006/relationships/hyperlink" Target="https://www.casamentos.pt/hotel-casamento/palace-hotel-do-bucaco--e51708" TargetMode="External"/><Relationship Id="rId56" Type="http://schemas.openxmlformats.org/officeDocument/2006/relationships/hyperlink" Target="https://www.casamentos.pt/quintas-para-casamentos/quinta-da-costeira--e76648" TargetMode="External"/><Relationship Id="rId719" Type="http://schemas.openxmlformats.org/officeDocument/2006/relationships/hyperlink" Target="https://www.casamentos.pt/quintas-para-casamentos/quinta-dos-serras--e171797" TargetMode="External"/><Relationship Id="rId718" Type="http://schemas.openxmlformats.org/officeDocument/2006/relationships/hyperlink" Target="https://www.casamentos.pt/quintas-para-casamentos/casa-tonel--e110891" TargetMode="External"/><Relationship Id="rId717" Type="http://schemas.openxmlformats.org/officeDocument/2006/relationships/hyperlink" Target="https://www.casamentos.pt/quintas-para-casamentos/palacio-ateneu-comercial-lowe--e117806" TargetMode="External"/><Relationship Id="rId959" Type="http://schemas.openxmlformats.org/officeDocument/2006/relationships/hyperlink" Target="https://www.casamentos.pt/quintas-para-casamentos/o-pavao-eventos--e51558" TargetMode="External"/><Relationship Id="rId712" Type="http://schemas.openxmlformats.org/officeDocument/2006/relationships/hyperlink" Target="https://www.casamentos.pt/quintas-para-casamentos/fortaleza-da-povoa-de-varzim--e115196" TargetMode="External"/><Relationship Id="rId954" Type="http://schemas.openxmlformats.org/officeDocument/2006/relationships/hyperlink" Target="https://www.casamentos.pt/hotel-casamento/hotel-tryp-montijo-parque--e102926" TargetMode="External"/><Relationship Id="rId711" Type="http://schemas.openxmlformats.org/officeDocument/2006/relationships/hyperlink" Target="https://www.casamentos.pt/quintas-para-casamentos/casa-do-rio-gondomar--e91224" TargetMode="External"/><Relationship Id="rId953" Type="http://schemas.openxmlformats.org/officeDocument/2006/relationships/hyperlink" Target="https://www.casamentos.pt/quintas-para-casamentos/restaurante-dona-isilda--e90923" TargetMode="External"/><Relationship Id="rId710" Type="http://schemas.openxmlformats.org/officeDocument/2006/relationships/hyperlink" Target="https://www.casamentos.pt/restaurantes-para-casamentos/garfo-torto-restaurante-bar--e133269" TargetMode="External"/><Relationship Id="rId952" Type="http://schemas.openxmlformats.org/officeDocument/2006/relationships/hyperlink" Target="https://www.casamentos.pt/hotel-casamento/santiago-hotel--e141787" TargetMode="External"/><Relationship Id="rId951" Type="http://schemas.openxmlformats.org/officeDocument/2006/relationships/hyperlink" Target="https://www.casamentos.pt/hotel-casamento/aqualuz-suite-hotel-apartamentos-troia--e105759" TargetMode="External"/><Relationship Id="rId716" Type="http://schemas.openxmlformats.org/officeDocument/2006/relationships/hyperlink" Target="https://www.casamentos.pt/quintas-para-casamentos/evonor-eventos--e165495" TargetMode="External"/><Relationship Id="rId958" Type="http://schemas.openxmlformats.org/officeDocument/2006/relationships/hyperlink" Target="https://www.casamentos.pt/restaurantes-para-casamentos/cerrado-da-loba--e117826" TargetMode="External"/><Relationship Id="rId715" Type="http://schemas.openxmlformats.org/officeDocument/2006/relationships/hyperlink" Target="https://www.casamentos.pt/quintas-para-casamentos/passal-country-house--e144644" TargetMode="External"/><Relationship Id="rId957" Type="http://schemas.openxmlformats.org/officeDocument/2006/relationships/hyperlink" Target="https://www.casamentos.pt/quintas-para-casamentos/spacegarden--e76917" TargetMode="External"/><Relationship Id="rId714" Type="http://schemas.openxmlformats.org/officeDocument/2006/relationships/hyperlink" Target="https://www.casamentos.pt/quintas-para-casamentos/quinta-das-hortas--e121080" TargetMode="External"/><Relationship Id="rId956" Type="http://schemas.openxmlformats.org/officeDocument/2006/relationships/hyperlink" Target="https://www.casamentos.pt/quintas-para-casamentos/quinta-da-vitoria--e77444" TargetMode="External"/><Relationship Id="rId713" Type="http://schemas.openxmlformats.org/officeDocument/2006/relationships/hyperlink" Target="https://www.casamentos.pt/quintas-para-casamentos/casa-de-recarem--e110098" TargetMode="External"/><Relationship Id="rId955" Type="http://schemas.openxmlformats.org/officeDocument/2006/relationships/hyperlink" Target="https://www.casamentos.pt/restaurantes-para-casamentos/a-fragata--e76829" TargetMode="External"/><Relationship Id="rId59" Type="http://schemas.openxmlformats.org/officeDocument/2006/relationships/hyperlink" Target="https://www.casamentos.pt/quintas-para-casamentos/quinta-do-eden--e51712" TargetMode="External"/><Relationship Id="rId58" Type="http://schemas.openxmlformats.org/officeDocument/2006/relationships/hyperlink" Target="https://www.casamentos.pt/quintas-para-casamentos/quinta-da-fontoura--e51164" TargetMode="External"/><Relationship Id="rId950" Type="http://schemas.openxmlformats.org/officeDocument/2006/relationships/hyperlink" Target="https://www.casamentos.pt/restaurantes-para-casamentos/casa-de-campo--e169591" TargetMode="External"/><Relationship Id="rId590" Type="http://schemas.openxmlformats.org/officeDocument/2006/relationships/hyperlink" Target="https://www.casamentos.pt/hotel-casamento/lagoas-park-hotel--e111776" TargetMode="External"/><Relationship Id="rId107" Type="http://schemas.openxmlformats.org/officeDocument/2006/relationships/hyperlink" Target="https://www.casamentos.pt/quintas-para-casamentos/quinta-do-grillo--e111099" TargetMode="External"/><Relationship Id="rId349" Type="http://schemas.openxmlformats.org/officeDocument/2006/relationships/hyperlink" Target="https://www.casamentos.pt/hotel-casamento/tivoli-marina-de-vilamoura--e146505" TargetMode="External"/><Relationship Id="rId106" Type="http://schemas.openxmlformats.org/officeDocument/2006/relationships/hyperlink" Target="https://www.casamentos.pt/quintas-para-casamentos/quinta-de-salvador--e113358" TargetMode="External"/><Relationship Id="rId348" Type="http://schemas.openxmlformats.org/officeDocument/2006/relationships/hyperlink" Target="https://www.casamentos.pt/quintas-para-casamentos/vau-terrace-weddings-&amp;-events--e174507" TargetMode="External"/><Relationship Id="rId105" Type="http://schemas.openxmlformats.org/officeDocument/2006/relationships/hyperlink" Target="https://www.casamentos.pt/quintas-para-casamentos/quinta-paco-eventos--e167049" TargetMode="External"/><Relationship Id="rId347" Type="http://schemas.openxmlformats.org/officeDocument/2006/relationships/hyperlink" Target="https://www.casamentos.pt/hotel-casamento/ap-adriana-beach-resort--e143179" TargetMode="External"/><Relationship Id="rId589" Type="http://schemas.openxmlformats.org/officeDocument/2006/relationships/hyperlink" Target="https://www.casamentos.pt/quintas-para-casamentos/quinta-dos-anjos--e77715" TargetMode="External"/><Relationship Id="rId104" Type="http://schemas.openxmlformats.org/officeDocument/2006/relationships/hyperlink" Target="https://www.casamentos.pt/quintas-para-casamentos/quinta-do-botas--e130111" TargetMode="External"/><Relationship Id="rId346" Type="http://schemas.openxmlformats.org/officeDocument/2006/relationships/hyperlink" Target="https://www.casamentos.pt/quintas-para-casamentos/quinta-dos-is--e165799" TargetMode="External"/><Relationship Id="rId588" Type="http://schemas.openxmlformats.org/officeDocument/2006/relationships/hyperlink" Target="https://www.casamentos.pt/quintas-para-casamentos/quinta-dos-chainhos--e174831" TargetMode="External"/><Relationship Id="rId109" Type="http://schemas.openxmlformats.org/officeDocument/2006/relationships/hyperlink" Target="https://www.casamentos.pt/quintas-para-casamentos/quinta-de-entre-vinhas--e50671" TargetMode="External"/><Relationship Id="rId1170" Type="http://schemas.openxmlformats.org/officeDocument/2006/relationships/hyperlink" Target="https://www.casamentos.pt/hotel-casamento/galo-resort-galosol-hotel--e109293" TargetMode="External"/><Relationship Id="rId108" Type="http://schemas.openxmlformats.org/officeDocument/2006/relationships/hyperlink" Target="https://www.casamentos.pt/quintas-para-casamentos/encosta-do-sossego--e114764" TargetMode="External"/><Relationship Id="rId1171" Type="http://schemas.openxmlformats.org/officeDocument/2006/relationships/hyperlink" Target="https://www.casamentos.pt/restaurantes-para-casamentos/restaurante-estrela-do-norte--e162937" TargetMode="External"/><Relationship Id="rId341" Type="http://schemas.openxmlformats.org/officeDocument/2006/relationships/hyperlink" Target="https://www.casamentos.pt/quintas-para-casamentos/amendoeira-golf-resort--e139687" TargetMode="External"/><Relationship Id="rId583" Type="http://schemas.openxmlformats.org/officeDocument/2006/relationships/hyperlink" Target="https://www.casamentos.pt/quintas-para-casamentos/quinta-da-serra--e114706" TargetMode="External"/><Relationship Id="rId1172" Type="http://schemas.openxmlformats.org/officeDocument/2006/relationships/hyperlink" Target="https://www.casamentos.pt/restaurantes-para-casamentos/restaurante-e-hotel-o-colmo--e113925" TargetMode="External"/><Relationship Id="rId340" Type="http://schemas.openxmlformats.org/officeDocument/2006/relationships/hyperlink" Target="https://www.casamentos.pt/hotel-casamento/ria-park-hotel-&amp;-spa--e110301" TargetMode="External"/><Relationship Id="rId582" Type="http://schemas.openxmlformats.org/officeDocument/2006/relationships/hyperlink" Target="https://www.casamentos.pt/quintas-para-casamentos/quinta-do-vale--e51636" TargetMode="External"/><Relationship Id="rId1173" Type="http://schemas.openxmlformats.org/officeDocument/2006/relationships/hyperlink" Target="https://www.casamentos.pt/restaurantes-para-casamentos/casa-de-cha-do-faial--e109815" TargetMode="External"/><Relationship Id="rId581" Type="http://schemas.openxmlformats.org/officeDocument/2006/relationships/hyperlink" Target="https://www.casamentos.pt/quintas-para-casamentos/quinta-da-carnota--e158119" TargetMode="External"/><Relationship Id="rId1174" Type="http://schemas.openxmlformats.org/officeDocument/2006/relationships/hyperlink" Target="https://www.casamentos.pt/hotel-casamento/hotel-encumeada--e102934" TargetMode="External"/><Relationship Id="rId580" Type="http://schemas.openxmlformats.org/officeDocument/2006/relationships/hyperlink" Target="https://www.casamentos.pt/quintas-para-casamentos/quinta-do-boiro--e155263" TargetMode="External"/><Relationship Id="rId1175" Type="http://schemas.openxmlformats.org/officeDocument/2006/relationships/hyperlink" Target="https://www.casamentos.pt/quintas-para-casamentos/clube-de-golf-santo-da-serra--e108218" TargetMode="External"/><Relationship Id="rId103" Type="http://schemas.openxmlformats.org/officeDocument/2006/relationships/hyperlink" Target="https://www.casamentos.pt/quintas-para-casamentos/casa-da-guia--e109388" TargetMode="External"/><Relationship Id="rId345" Type="http://schemas.openxmlformats.org/officeDocument/2006/relationships/hyperlink" Target="https://www.casamentos.pt/restaurantes-para-casamentos/spikes-restaurante--e126575" TargetMode="External"/><Relationship Id="rId587" Type="http://schemas.openxmlformats.org/officeDocument/2006/relationships/hyperlink" Target="https://www.casamentos.pt/quintas-para-casamentos/quinta-dos-rouxinois-rgn-eventos--e75628" TargetMode="External"/><Relationship Id="rId1176" Type="http://schemas.openxmlformats.org/officeDocument/2006/relationships/hyperlink" Target="https://www.casamentos.pt/hotel-casamento/dorisol--e87237" TargetMode="External"/><Relationship Id="rId102" Type="http://schemas.openxmlformats.org/officeDocument/2006/relationships/hyperlink" Target="https://www.casamentos.pt/quintas-para-casamentos/quinta-da-alegria--e76225" TargetMode="External"/><Relationship Id="rId344" Type="http://schemas.openxmlformats.org/officeDocument/2006/relationships/hyperlink" Target="https://www.casamentos.pt/hotel-casamento/tivoli-lagos--e51689" TargetMode="External"/><Relationship Id="rId586" Type="http://schemas.openxmlformats.org/officeDocument/2006/relationships/hyperlink" Target="https://www.casamentos.pt/quintas-para-casamentos/quinta-das-rosas--e112988" TargetMode="External"/><Relationship Id="rId1177" Type="http://schemas.openxmlformats.org/officeDocument/2006/relationships/hyperlink" Target="https://www.casamentos.pt/restaurantes-para-casamentos/il-vivaldi--e128881" TargetMode="External"/><Relationship Id="rId101" Type="http://schemas.openxmlformats.org/officeDocument/2006/relationships/hyperlink" Target="https://www.casamentos.pt/quintas-para-casamentos/o-campo--e76782" TargetMode="External"/><Relationship Id="rId343" Type="http://schemas.openxmlformats.org/officeDocument/2006/relationships/hyperlink" Target="https://www.casamentos.pt/hotel-casamento/real-marina-hotel-&amp;-spa--e110524" TargetMode="External"/><Relationship Id="rId585" Type="http://schemas.openxmlformats.org/officeDocument/2006/relationships/hyperlink" Target="https://www.casamentos.pt/restaurantes-para-casamentos/viveiros-do-atlantico--e111781" TargetMode="External"/><Relationship Id="rId1178" Type="http://schemas.openxmlformats.org/officeDocument/2006/relationships/hyperlink" Target="https://www.casamentos.pt/restaurantes-para-casamentos/restaurante-o-lagar--e110857" TargetMode="External"/><Relationship Id="rId100" Type="http://schemas.openxmlformats.org/officeDocument/2006/relationships/hyperlink" Target="https://www.casamentos.pt/restaurantes-para-casamentos/oboe-by-lu-marinho--e173285" TargetMode="External"/><Relationship Id="rId342" Type="http://schemas.openxmlformats.org/officeDocument/2006/relationships/hyperlink" Target="https://www.casamentos.pt/hotel-casamento/hilton-vilamoura--e107090" TargetMode="External"/><Relationship Id="rId584" Type="http://schemas.openxmlformats.org/officeDocument/2006/relationships/hyperlink" Target="https://www.casamentos.pt/hotel-casamento/malhoa-sana-hotels--e77055" TargetMode="External"/><Relationship Id="rId1179" Type="http://schemas.openxmlformats.org/officeDocument/2006/relationships/hyperlink" Target="https://www.casamentos.pt/restaurantes-para-casamentos/nini-design-centre--e116172" TargetMode="External"/><Relationship Id="rId1169" Type="http://schemas.openxmlformats.org/officeDocument/2006/relationships/hyperlink" Target="https://www.casamentos.pt/hotel-casamento/penha-de-franca-hotels--e158281" TargetMode="External"/><Relationship Id="rId338" Type="http://schemas.openxmlformats.org/officeDocument/2006/relationships/hyperlink" Target="https://www.casamentos.pt/restaurantes-para-casamentos/restaurante-estamine--e112550" TargetMode="External"/><Relationship Id="rId337" Type="http://schemas.openxmlformats.org/officeDocument/2006/relationships/hyperlink" Target="https://www.casamentos.pt/hotel-casamento/dona-filipa-hotel--e98605" TargetMode="External"/><Relationship Id="rId579" Type="http://schemas.openxmlformats.org/officeDocument/2006/relationships/hyperlink" Target="https://www.casamentos.pt/quintas-para-casamentos/os-severianos--e90169" TargetMode="External"/><Relationship Id="rId336" Type="http://schemas.openxmlformats.org/officeDocument/2006/relationships/hyperlink" Target="https://www.casamentos.pt/quintas-para-casamentos/quinta-dos-netos--e107247" TargetMode="External"/><Relationship Id="rId578" Type="http://schemas.openxmlformats.org/officeDocument/2006/relationships/hyperlink" Target="https://www.casamentos.pt/quintas-para-casamentos/quinta-do-serpa-auxiliadora-eventos--e157123" TargetMode="External"/><Relationship Id="rId335" Type="http://schemas.openxmlformats.org/officeDocument/2006/relationships/hyperlink" Target="https://www.casamentos.pt/hotel-casamento/bela-vista-hotel-&amp;-spa--e113407" TargetMode="External"/><Relationship Id="rId577" Type="http://schemas.openxmlformats.org/officeDocument/2006/relationships/hyperlink" Target="https://www.casamentos.pt/quintas-para-casamentos/quinta-das-cruzadas--e111283" TargetMode="External"/><Relationship Id="rId339" Type="http://schemas.openxmlformats.org/officeDocument/2006/relationships/hyperlink" Target="https://www.casamentos.pt/restaurantes-para-casamentos/retiro-do-campones--e159009" TargetMode="External"/><Relationship Id="rId1160" Type="http://schemas.openxmlformats.org/officeDocument/2006/relationships/hyperlink" Target="https://www.casamentos.pt/quintas-para-casamentos/quinta-o-aguia--e113461" TargetMode="External"/><Relationship Id="rId330" Type="http://schemas.openxmlformats.org/officeDocument/2006/relationships/hyperlink" Target="https://www.casamentos.pt/quintas-para-casamentos/vila-fuzeta-bed&amp;breakfast--e151255" TargetMode="External"/><Relationship Id="rId572" Type="http://schemas.openxmlformats.org/officeDocument/2006/relationships/hyperlink" Target="https://www.casamentos.pt/quintas-para-casamentos/quinta-do-monte-negrais--e51630" TargetMode="External"/><Relationship Id="rId1161" Type="http://schemas.openxmlformats.org/officeDocument/2006/relationships/hyperlink" Target="https://www.casamentos.pt/restaurantes-para-casamentos/q-eventos--e126703" TargetMode="External"/><Relationship Id="rId571" Type="http://schemas.openxmlformats.org/officeDocument/2006/relationships/hyperlink" Target="https://www.casamentos.pt/quintas-para-casamentos/quinta-do-lumarinho--e49369" TargetMode="External"/><Relationship Id="rId1162" Type="http://schemas.openxmlformats.org/officeDocument/2006/relationships/hyperlink" Target="https://www.casamentos.pt/hotel-casamento/hotel-acores-atlantico--e90263" TargetMode="External"/><Relationship Id="rId570" Type="http://schemas.openxmlformats.org/officeDocument/2006/relationships/hyperlink" Target="https://www.casamentos.pt/quintas-para-casamentos/quinta-dos-lapias--e115872" TargetMode="External"/><Relationship Id="rId1163" Type="http://schemas.openxmlformats.org/officeDocument/2006/relationships/hyperlink" Target="https://www.casamentos.pt/hotel-casamento/hotel-pestana-bahia-praia--e129879" TargetMode="External"/><Relationship Id="rId1164" Type="http://schemas.openxmlformats.org/officeDocument/2006/relationships/hyperlink" Target="https://www.casamentos.pt/quintas-para-casamentos/adega-da-quinta--e170289" TargetMode="External"/><Relationship Id="rId334" Type="http://schemas.openxmlformats.org/officeDocument/2006/relationships/hyperlink" Target="https://www.casamentos.pt/hotel-casamento/epic-sana-algarve--e123213" TargetMode="External"/><Relationship Id="rId576" Type="http://schemas.openxmlformats.org/officeDocument/2006/relationships/hyperlink" Target="https://www.casamentos.pt/quintas-para-casamentos/quinta-do-castro--e51089" TargetMode="External"/><Relationship Id="rId1165" Type="http://schemas.openxmlformats.org/officeDocument/2006/relationships/hyperlink" Target="https://www.casamentos.pt/hotel-casamento/aldeia-da-cuada--e160505" TargetMode="External"/><Relationship Id="rId333" Type="http://schemas.openxmlformats.org/officeDocument/2006/relationships/hyperlink" Target="https://www.casamentos.pt/restaurantes-para-casamentos/pezinhos-nareia--e110522" TargetMode="External"/><Relationship Id="rId575" Type="http://schemas.openxmlformats.org/officeDocument/2006/relationships/hyperlink" Target="https://www.casamentos.pt/quintas-para-casamentos/connecting-eventos-quinta-da-cascata--e77175" TargetMode="External"/><Relationship Id="rId1166" Type="http://schemas.openxmlformats.org/officeDocument/2006/relationships/hyperlink" Target="https://www.casamentos.pt/restaurantes-para-casamentos/restaurante-trianguloso--e110690" TargetMode="External"/><Relationship Id="rId332" Type="http://schemas.openxmlformats.org/officeDocument/2006/relationships/hyperlink" Target="https://www.casamentos.pt/restaurantes-para-casamentos/cha-com-agua-salgada--e106157" TargetMode="External"/><Relationship Id="rId574" Type="http://schemas.openxmlformats.org/officeDocument/2006/relationships/hyperlink" Target="https://www.casamentos.pt/hotel-casamento/hotel-vila-dobidos--e107496" TargetMode="External"/><Relationship Id="rId1167" Type="http://schemas.openxmlformats.org/officeDocument/2006/relationships/hyperlink" Target="https://www.casamentos.pt/quintas-para-casamentos/quinta-do-furao--e145025" TargetMode="External"/><Relationship Id="rId331" Type="http://schemas.openxmlformats.org/officeDocument/2006/relationships/hyperlink" Target="https://www.casamentos.pt/restaurantes-para-casamentos/well-vale-do-lobo--e167483" TargetMode="External"/><Relationship Id="rId573" Type="http://schemas.openxmlformats.org/officeDocument/2006/relationships/hyperlink" Target="https://www.casamentos.pt/quintas-para-casamentos/henriques-&amp;-neto-quinta-da-luz--e105823" TargetMode="External"/><Relationship Id="rId1168" Type="http://schemas.openxmlformats.org/officeDocument/2006/relationships/hyperlink" Target="https://www.casamentos.pt/quintas-para-casamentos/quinta-das-carreiras--e121122" TargetMode="External"/><Relationship Id="rId370" Type="http://schemas.openxmlformats.org/officeDocument/2006/relationships/hyperlink" Target="https://www.casamentos.pt/hotel-casamento/domes-lake-algarve--e160665" TargetMode="External"/><Relationship Id="rId129" Type="http://schemas.openxmlformats.org/officeDocument/2006/relationships/hyperlink" Target="https://www.casamentos.pt/quintas-para-casamentos/quinta-do-brasao--e140655" TargetMode="External"/><Relationship Id="rId128" Type="http://schemas.openxmlformats.org/officeDocument/2006/relationships/hyperlink" Target="https://www.casamentos.pt/quintas-para-casamentos/quinta-das-carpas--e113327" TargetMode="External"/><Relationship Id="rId127" Type="http://schemas.openxmlformats.org/officeDocument/2006/relationships/hyperlink" Target="https://www.casamentos.pt/quintas-para-casamentos/cascata-cristalina-eventos--e114238" TargetMode="External"/><Relationship Id="rId369" Type="http://schemas.openxmlformats.org/officeDocument/2006/relationships/hyperlink" Target="https://www.casamentos.pt/hotel-casamento/monte-rei-golf-&amp;-country-club--e103228" TargetMode="External"/><Relationship Id="rId126" Type="http://schemas.openxmlformats.org/officeDocument/2006/relationships/hyperlink" Target="https://www.casamentos.pt/quintas-para-casamentos/casa-da-portela--e49055" TargetMode="External"/><Relationship Id="rId368" Type="http://schemas.openxmlformats.org/officeDocument/2006/relationships/hyperlink" Target="https://www.casamentos.pt/hotel-casamento/pine-cliffs-hotel--e48620" TargetMode="External"/><Relationship Id="rId1190" Type="http://schemas.openxmlformats.org/officeDocument/2006/relationships/hyperlink" Target="https://www.casamentos.pt/quintas-para-casamentos/quinta-estacao--e113545" TargetMode="External"/><Relationship Id="rId1191" Type="http://schemas.openxmlformats.org/officeDocument/2006/relationships/hyperlink" Target="https://www.casamentos.pt/hotel-casamento/se-boutique-hotel--e169427" TargetMode="External"/><Relationship Id="rId1192" Type="http://schemas.openxmlformats.org/officeDocument/2006/relationships/hyperlink" Target="https://www.casamentos.pt/quintas-para-casamentos/villa-camelia-boutique-house--e169397" TargetMode="External"/><Relationship Id="rId1193" Type="http://schemas.openxmlformats.org/officeDocument/2006/relationships/hyperlink" Target="https://www.casamentos.pt/hotel-casamento/villa-alto-boutique-hotel--e169431" TargetMode="External"/><Relationship Id="rId121" Type="http://schemas.openxmlformats.org/officeDocument/2006/relationships/hyperlink" Target="https://www.casamentos.pt/quintas-para-casamentos/quinta-cedro-do-ave--e77295" TargetMode="External"/><Relationship Id="rId363" Type="http://schemas.openxmlformats.org/officeDocument/2006/relationships/hyperlink" Target="https://www.casamentos.pt/hotel-casamento/wine-&amp;-books-by-the-sea-algarve-resort--e108480" TargetMode="External"/><Relationship Id="rId1194" Type="http://schemas.openxmlformats.org/officeDocument/2006/relationships/hyperlink" Target="https://www.casamentos.pt/quintas-para-casamentos/quinta-splendida--e51474" TargetMode="External"/><Relationship Id="rId120" Type="http://schemas.openxmlformats.org/officeDocument/2006/relationships/hyperlink" Target="https://www.casamentos.pt/quintas-para-casamentos/quinta-bica-da-cruz--e90913" TargetMode="External"/><Relationship Id="rId362" Type="http://schemas.openxmlformats.org/officeDocument/2006/relationships/hyperlink" Target="https://www.casamentos.pt/quintas-para-casamentos/quinta-dos-vales--e104604" TargetMode="External"/><Relationship Id="rId1195" Type="http://schemas.openxmlformats.org/officeDocument/2006/relationships/hyperlink" Target="https://www.casamentos.pt/quintas-para-casamentos/quinta-santa-rita--e106889" TargetMode="External"/><Relationship Id="rId361" Type="http://schemas.openxmlformats.org/officeDocument/2006/relationships/hyperlink" Target="https://www.casamentos.pt/restaurantes-para-casamentos/cua-cua-club-quinta-do-lago--e173389" TargetMode="External"/><Relationship Id="rId1196" Type="http://schemas.openxmlformats.org/officeDocument/2006/relationships/hyperlink" Target="https://www.casamentos.pt/hotel-casamento/reid-s-palace--e103411" TargetMode="External"/><Relationship Id="rId360" Type="http://schemas.openxmlformats.org/officeDocument/2006/relationships/hyperlink" Target="https://www.casamentos.pt/hotel-casamento/pestana-viking-resort--e121624" TargetMode="External"/><Relationship Id="rId1197" Type="http://schemas.openxmlformats.org/officeDocument/2006/relationships/hyperlink" Target="https://www.casamentos.pt/hotel-casamento/hotel-savoy-palace--e133023" TargetMode="External"/><Relationship Id="rId125" Type="http://schemas.openxmlformats.org/officeDocument/2006/relationships/hyperlink" Target="https://www.casamentos.pt/quintas-para-casamentos/quinta-da-fonte--e105637" TargetMode="External"/><Relationship Id="rId367" Type="http://schemas.openxmlformats.org/officeDocument/2006/relationships/hyperlink" Target="https://www.casamentos.pt/quintas-para-casamentos/solar-do-paco-algarve--e144856" TargetMode="External"/><Relationship Id="rId1198" Type="http://schemas.openxmlformats.org/officeDocument/2006/relationships/hyperlink" Target="https://www.casamentos.pt/quintas-para-casamentos/palheiro-nature-estate--e114913" TargetMode="External"/><Relationship Id="rId124" Type="http://schemas.openxmlformats.org/officeDocument/2006/relationships/hyperlink" Target="https://www.casamentos.pt/quintas-para-casamentos/quinta-dalva--e49140" TargetMode="External"/><Relationship Id="rId366" Type="http://schemas.openxmlformats.org/officeDocument/2006/relationships/hyperlink" Target="https://www.casamentos.pt/quintas-para-casamentos/solar-do-paco-algarve--e144856" TargetMode="External"/><Relationship Id="rId1199" Type="http://schemas.openxmlformats.org/officeDocument/2006/relationships/drawing" Target="../drawings/drawing3.xml"/><Relationship Id="rId123" Type="http://schemas.openxmlformats.org/officeDocument/2006/relationships/hyperlink" Target="https://www.casamentos.pt/quintas-para-casamentos/casa-de-cerqueda-eventos--e121851" TargetMode="External"/><Relationship Id="rId365" Type="http://schemas.openxmlformats.org/officeDocument/2006/relationships/hyperlink" Target="https://www.casamentos.pt/hotel-casamento/sao-rafael-atlantico--e49207" TargetMode="External"/><Relationship Id="rId122" Type="http://schemas.openxmlformats.org/officeDocument/2006/relationships/hyperlink" Target="https://www.casamentos.pt/quintas-para-casamentos/quinta-santo-andre--e51469" TargetMode="External"/><Relationship Id="rId364" Type="http://schemas.openxmlformats.org/officeDocument/2006/relationships/hyperlink" Target="https://www.casamentos.pt/hotel-casamento/vila-alba-resort--e166015" TargetMode="External"/><Relationship Id="rId95" Type="http://schemas.openxmlformats.org/officeDocument/2006/relationships/hyperlink" Target="https://www.casamentos.pt/hotel-casamento/hotel-s-bento--e125739" TargetMode="External"/><Relationship Id="rId94" Type="http://schemas.openxmlformats.org/officeDocument/2006/relationships/hyperlink" Target="https://www.casamentos.pt/quintas-para-casamentos/quinta-da-cerca--e137763" TargetMode="External"/><Relationship Id="rId97" Type="http://schemas.openxmlformats.org/officeDocument/2006/relationships/hyperlink" Target="https://www.casamentos.pt/quintas-para-casamentos/quinta-de-labacoso--e175373" TargetMode="External"/><Relationship Id="rId96" Type="http://schemas.openxmlformats.org/officeDocument/2006/relationships/hyperlink" Target="https://www.casamentos.pt/quintas-para-casamentos/quinta-do-coelho--e99951" TargetMode="External"/><Relationship Id="rId99" Type="http://schemas.openxmlformats.org/officeDocument/2006/relationships/hyperlink" Target="https://www.casamentos.pt/quintas-para-casamentos/quinta-da-mainha--e49530" TargetMode="External"/><Relationship Id="rId98" Type="http://schemas.openxmlformats.org/officeDocument/2006/relationships/hyperlink" Target="https://www.casamentos.pt/quintas-para-casamentos/villam--e167293" TargetMode="External"/><Relationship Id="rId91" Type="http://schemas.openxmlformats.org/officeDocument/2006/relationships/hyperlink" Target="https://www.casamentos.pt/quintas-para-casamentos/primeira-dinastia-eventos--e172955" TargetMode="External"/><Relationship Id="rId90" Type="http://schemas.openxmlformats.org/officeDocument/2006/relationships/hyperlink" Target="https://www.casamentos.pt/quintas-para-casamentos/quinta-da-devesa--e107968" TargetMode="External"/><Relationship Id="rId93" Type="http://schemas.openxmlformats.org/officeDocument/2006/relationships/hyperlink" Target="https://www.casamentos.pt/quintas-para-casamentos/quinta-da-torre--e51697" TargetMode="External"/><Relationship Id="rId92" Type="http://schemas.openxmlformats.org/officeDocument/2006/relationships/hyperlink" Target="https://www.casamentos.pt/quintas-para-casamentos/solar-do-lagar--e111145" TargetMode="External"/><Relationship Id="rId118" Type="http://schemas.openxmlformats.org/officeDocument/2006/relationships/hyperlink" Target="https://www.casamentos.pt/quintas-para-casamentos/quinta-do-palacio-rauliana--e50425" TargetMode="External"/><Relationship Id="rId117" Type="http://schemas.openxmlformats.org/officeDocument/2006/relationships/hyperlink" Target="https://www.casamentos.pt/quintas-para-casamentos/palacete-da-quinta-do-egipto--e106615" TargetMode="External"/><Relationship Id="rId359" Type="http://schemas.openxmlformats.org/officeDocument/2006/relationships/hyperlink" Target="https://www.casamentos.pt/hotel-casamento/pestana-alvor-praia--e121622" TargetMode="External"/><Relationship Id="rId116" Type="http://schemas.openxmlformats.org/officeDocument/2006/relationships/hyperlink" Target="https://www.casamentos.pt/quintas-para-casamentos/abadia-deste--e51021" TargetMode="External"/><Relationship Id="rId358" Type="http://schemas.openxmlformats.org/officeDocument/2006/relationships/hyperlink" Target="https://www.casamentos.pt/hotel-casamento/hotel-grande-real-santa-eulalia--e102830" TargetMode="External"/><Relationship Id="rId115" Type="http://schemas.openxmlformats.org/officeDocument/2006/relationships/hyperlink" Target="https://www.casamentos.pt/quintas-para-casamentos/quinta-maria-da-fonte--e100784" TargetMode="External"/><Relationship Id="rId357" Type="http://schemas.openxmlformats.org/officeDocument/2006/relationships/hyperlink" Target="https://www.casamentos.pt/hotel-casamento/vila-vita-parc--e90278" TargetMode="External"/><Relationship Id="rId599" Type="http://schemas.openxmlformats.org/officeDocument/2006/relationships/hyperlink" Target="https://www.casamentos.pt/quintas-para-casamentos/quinta-dos-jarros-by-premium-eventos--e106475" TargetMode="External"/><Relationship Id="rId1180" Type="http://schemas.openxmlformats.org/officeDocument/2006/relationships/hyperlink" Target="https://www.casamentos.pt/hotel-casamento/suite-hotel-jardins-da-ajuda--e148932" TargetMode="External"/><Relationship Id="rId1181" Type="http://schemas.openxmlformats.org/officeDocument/2006/relationships/hyperlink" Target="https://www.casamentos.pt/hotel-casamento/hotel-baia-azul--e144168" TargetMode="External"/><Relationship Id="rId119" Type="http://schemas.openxmlformats.org/officeDocument/2006/relationships/hyperlink" Target="https://www.casamentos.pt/quintas-para-casamentos/quinta-do-ribeiro--e50432" TargetMode="External"/><Relationship Id="rId1182" Type="http://schemas.openxmlformats.org/officeDocument/2006/relationships/hyperlink" Target="https://www.casamentos.pt/hotel-casamento/vila-baleira-porto-santo-beach-&amp;-thalasso-resort--e110147" TargetMode="External"/><Relationship Id="rId110" Type="http://schemas.openxmlformats.org/officeDocument/2006/relationships/hyperlink" Target="https://www.casamentos.pt/quintas-para-casamentos/quinta-das-tulipas--e112141" TargetMode="External"/><Relationship Id="rId352" Type="http://schemas.openxmlformats.org/officeDocument/2006/relationships/hyperlink" Target="https://www.casamentos.pt/restaurantes-para-casamentos/restaurante-canico--e108774" TargetMode="External"/><Relationship Id="rId594" Type="http://schemas.openxmlformats.org/officeDocument/2006/relationships/hyperlink" Target="https://www.casamentos.pt/quintas-para-casamentos/grupo-grilo-quinta-do-grilo--e47927" TargetMode="External"/><Relationship Id="rId1183" Type="http://schemas.openxmlformats.org/officeDocument/2006/relationships/hyperlink" Target="https://www.casamentos.pt/restaurantes-para-casamentos/restaurante-do-forte--e113819" TargetMode="External"/><Relationship Id="rId351" Type="http://schemas.openxmlformats.org/officeDocument/2006/relationships/hyperlink" Target="https://www.casamentos.pt/hotel-casamento/aldeia-da-pedralva--e140209" TargetMode="External"/><Relationship Id="rId593" Type="http://schemas.openxmlformats.org/officeDocument/2006/relationships/hyperlink" Target="https://www.casamentos.pt/quintas-para-casamentos/quinta-do-gradil--e133559" TargetMode="External"/><Relationship Id="rId1184" Type="http://schemas.openxmlformats.org/officeDocument/2006/relationships/hyperlink" Target="https://www.casamentos.pt/hotel-casamento/eira-do-serrado-hotel-&amp;-spa--e90282" TargetMode="External"/><Relationship Id="rId350" Type="http://schemas.openxmlformats.org/officeDocument/2006/relationships/hyperlink" Target="https://www.casamentos.pt/quintas-para-casamentos/quinta-da-boavista--e107047" TargetMode="External"/><Relationship Id="rId592" Type="http://schemas.openxmlformats.org/officeDocument/2006/relationships/hyperlink" Target="https://www.casamentos.pt/quintas-para-casamentos/quinta-do-palhas--e47752" TargetMode="External"/><Relationship Id="rId1185" Type="http://schemas.openxmlformats.org/officeDocument/2006/relationships/hyperlink" Target="https://www.casamentos.pt/hotel-casamento/savoy-saccharum--e122755" TargetMode="External"/><Relationship Id="rId591" Type="http://schemas.openxmlformats.org/officeDocument/2006/relationships/hyperlink" Target="https://www.casamentos.pt/quintas-para-casamentos/quinta-cascata-dos-sonhos-connecting-eventos--e115323" TargetMode="External"/><Relationship Id="rId1186" Type="http://schemas.openxmlformats.org/officeDocument/2006/relationships/hyperlink" Target="https://www.casamentos.pt/quintas-para-casamentos/torre-bella-gardens--e161611" TargetMode="External"/><Relationship Id="rId114" Type="http://schemas.openxmlformats.org/officeDocument/2006/relationships/hyperlink" Target="https://www.casamentos.pt/quintas-para-casamentos/quinta-das-princesas--e110773" TargetMode="External"/><Relationship Id="rId356" Type="http://schemas.openxmlformats.org/officeDocument/2006/relationships/hyperlink" Target="https://www.casamentos.pt/hotel-casamento/hotel-quinta-do-lago--e109846" TargetMode="External"/><Relationship Id="rId598" Type="http://schemas.openxmlformats.org/officeDocument/2006/relationships/hyperlink" Target="https://www.casamentos.pt/hotel-casamento/tivoli-oriente--e51696" TargetMode="External"/><Relationship Id="rId1187" Type="http://schemas.openxmlformats.org/officeDocument/2006/relationships/hyperlink" Target="https://www.casamentos.pt/hotel-casamento/hotel-quinta-da-serra-bio-hotel--e157621" TargetMode="External"/><Relationship Id="rId113" Type="http://schemas.openxmlformats.org/officeDocument/2006/relationships/hyperlink" Target="https://www.casamentos.pt/quintas-para-casamentos/quinta-da-lage-solar-do-burgues--e115391" TargetMode="External"/><Relationship Id="rId355" Type="http://schemas.openxmlformats.org/officeDocument/2006/relationships/hyperlink" Target="https://www.casamentos.pt/restaurantes-para-casamentos/xarme-restaurante-&amp;-bar--e151251" TargetMode="External"/><Relationship Id="rId597" Type="http://schemas.openxmlformats.org/officeDocument/2006/relationships/hyperlink" Target="https://www.casamentos.pt/quintas-para-casamentos/quinta-de-cima--e157147" TargetMode="External"/><Relationship Id="rId1188" Type="http://schemas.openxmlformats.org/officeDocument/2006/relationships/hyperlink" Target="https://www.casamentos.pt/hotel-casamento/turim-santa-maria-hotel--e147615" TargetMode="External"/><Relationship Id="rId112" Type="http://schemas.openxmlformats.org/officeDocument/2006/relationships/hyperlink" Target="https://www.casamentos.pt/quintas-para-casamentos/quinta-casa-da-cal--e109828" TargetMode="External"/><Relationship Id="rId354" Type="http://schemas.openxmlformats.org/officeDocument/2006/relationships/hyperlink" Target="https://www.casamentos.pt/quintas-para-casamentos/quinta-do-marco-hotel-rural--e115716" TargetMode="External"/><Relationship Id="rId596" Type="http://schemas.openxmlformats.org/officeDocument/2006/relationships/hyperlink" Target="https://www.casamentos.pt/quintas-para-casamentos/quinta-da-murta--e76793" TargetMode="External"/><Relationship Id="rId1189" Type="http://schemas.openxmlformats.org/officeDocument/2006/relationships/hyperlink" Target="https://www.casamentos.pt/hotel-casamento/melia-madeira-mare--e108391" TargetMode="External"/><Relationship Id="rId111" Type="http://schemas.openxmlformats.org/officeDocument/2006/relationships/hyperlink" Target="https://www.casamentos.pt/quintas-para-casamentos/rilhadas--e115202" TargetMode="External"/><Relationship Id="rId353" Type="http://schemas.openxmlformats.org/officeDocument/2006/relationships/hyperlink" Target="https://www.casamentos.pt/hotel-casamento/cascade-resort--e97449" TargetMode="External"/><Relationship Id="rId595" Type="http://schemas.openxmlformats.org/officeDocument/2006/relationships/hyperlink" Target="https://www.casamentos.pt/quintas-para-casamentos/grupo-grilo-quinta-das-palmeiras--e47925" TargetMode="External"/><Relationship Id="rId1136" Type="http://schemas.openxmlformats.org/officeDocument/2006/relationships/hyperlink" Target="https://www.casamentos.pt/hotel-casamento/hotel-casa-da-insua--e51618" TargetMode="External"/><Relationship Id="rId1137" Type="http://schemas.openxmlformats.org/officeDocument/2006/relationships/hyperlink" Target="https://www.casamentos.pt/quintas-para-casamentos/quinta-do-paco-hotel--e76213" TargetMode="External"/><Relationship Id="rId1138" Type="http://schemas.openxmlformats.org/officeDocument/2006/relationships/hyperlink" Target="https://www.casamentos.pt/quintas-para-casamentos/delfim-douro-hotel--e148245" TargetMode="External"/><Relationship Id="rId1139" Type="http://schemas.openxmlformats.org/officeDocument/2006/relationships/hyperlink" Target="https://www.casamentos.pt/hotel-casamento/lamego-hotel-&amp;-life--e149048" TargetMode="External"/><Relationship Id="rId305" Type="http://schemas.openxmlformats.org/officeDocument/2006/relationships/hyperlink" Target="https://www.casamentos.pt/hotel-casamento/hotel-eva--e90137" TargetMode="External"/><Relationship Id="rId547" Type="http://schemas.openxmlformats.org/officeDocument/2006/relationships/hyperlink" Target="https://www.casamentos.pt/quintas-para-casamentos/quinta-azenha-de-cima--e46919" TargetMode="External"/><Relationship Id="rId789" Type="http://schemas.openxmlformats.org/officeDocument/2006/relationships/hyperlink" Target="https://www.casamentos.pt/quintas-para-casamentos/quinta-do-castelo-by-quintas-&amp;-catering--e50978" TargetMode="External"/><Relationship Id="rId304" Type="http://schemas.openxmlformats.org/officeDocument/2006/relationships/hyperlink" Target="https://www.casamentos.pt/quintas-para-casamentos/monte-vale-deguas-grupo-eventual--e166169" TargetMode="External"/><Relationship Id="rId546" Type="http://schemas.openxmlformats.org/officeDocument/2006/relationships/hyperlink" Target="https://www.casamentos.pt/quintas-para-casamentos/quinta-da-estrela--e50854" TargetMode="External"/><Relationship Id="rId788" Type="http://schemas.openxmlformats.org/officeDocument/2006/relationships/hyperlink" Target="https://www.casamentos.pt/quintas-para-casamentos/quinta-da-mota--e76644" TargetMode="External"/><Relationship Id="rId303" Type="http://schemas.openxmlformats.org/officeDocument/2006/relationships/hyperlink" Target="https://www.casamentos.pt/hotel-casamento/hotel-faro--e102784" TargetMode="External"/><Relationship Id="rId545" Type="http://schemas.openxmlformats.org/officeDocument/2006/relationships/hyperlink" Target="https://www.casamentos.pt/quintas-para-casamentos/centro-de-eventos-porto-da-luz--e76666" TargetMode="External"/><Relationship Id="rId787" Type="http://schemas.openxmlformats.org/officeDocument/2006/relationships/hyperlink" Target="https://www.casamentos.pt/restaurantes-para-casamentos/restaurante-da-fundacao--e105758" TargetMode="External"/><Relationship Id="rId302" Type="http://schemas.openxmlformats.org/officeDocument/2006/relationships/hyperlink" Target="https://www.casamentos.pt/quintas-para-casamentos/a-quinta-parque-tematico-rural-e-eventos--e51763" TargetMode="External"/><Relationship Id="rId544" Type="http://schemas.openxmlformats.org/officeDocument/2006/relationships/hyperlink" Target="https://www.casamentos.pt/quintas-para-casamentos/quinta-da-caloura--e115109" TargetMode="External"/><Relationship Id="rId786" Type="http://schemas.openxmlformats.org/officeDocument/2006/relationships/hyperlink" Target="https://www.casamentos.pt/quintas-para-casamentos/casa-dos-laceiras--e114031" TargetMode="External"/><Relationship Id="rId309" Type="http://schemas.openxmlformats.org/officeDocument/2006/relationships/hyperlink" Target="https://www.casamentos.pt/hotel-casamento/pestana-dom-joao-ii--e136701" TargetMode="External"/><Relationship Id="rId308" Type="http://schemas.openxmlformats.org/officeDocument/2006/relationships/hyperlink" Target="https://www.casamentos.pt/hotel-casamento/ancora-park--e173591" TargetMode="External"/><Relationship Id="rId307" Type="http://schemas.openxmlformats.org/officeDocument/2006/relationships/hyperlink" Target="https://www.casamentos.pt/quintas-para-casamentos/quinta-da-pomona--e110113" TargetMode="External"/><Relationship Id="rId549" Type="http://schemas.openxmlformats.org/officeDocument/2006/relationships/hyperlink" Target="https://www.casamentos.pt/quintas-para-casamentos/quinta-das-riscas--e90241" TargetMode="External"/><Relationship Id="rId306" Type="http://schemas.openxmlformats.org/officeDocument/2006/relationships/hyperlink" Target="https://www.casamentos.pt/hotel-casamento/villa-termal-caldas-de-monchique--e130675" TargetMode="External"/><Relationship Id="rId548" Type="http://schemas.openxmlformats.org/officeDocument/2006/relationships/hyperlink" Target="https://www.casamentos.pt/quintas-para-casamentos/maria-joao-eventos-quinta-do-cerrado--e76230" TargetMode="External"/><Relationship Id="rId781" Type="http://schemas.openxmlformats.org/officeDocument/2006/relationships/hyperlink" Target="https://www.casamentos.pt/quintas-para-casamentos/quinta-dom-nunes--e109630" TargetMode="External"/><Relationship Id="rId780" Type="http://schemas.openxmlformats.org/officeDocument/2006/relationships/hyperlink" Target="https://www.casamentos.pt/quintas-para-casamentos/quinta-da-maria--e170673" TargetMode="External"/><Relationship Id="rId1130" Type="http://schemas.openxmlformats.org/officeDocument/2006/relationships/hyperlink" Target="https://www.casamentos.pt/quintas-para-casamentos/quinta-da-boica--e51685" TargetMode="External"/><Relationship Id="rId1131" Type="http://schemas.openxmlformats.org/officeDocument/2006/relationships/hyperlink" Target="https://www.casamentos.pt/quintas-para-casamentos/quinta-vale-locaia--e104565" TargetMode="External"/><Relationship Id="rId301" Type="http://schemas.openxmlformats.org/officeDocument/2006/relationships/hyperlink" Target="https://www.casamentos.pt/salao-para-casamento/casino-de-monte-gordo--e113730" TargetMode="External"/><Relationship Id="rId543" Type="http://schemas.openxmlformats.org/officeDocument/2006/relationships/hyperlink" Target="https://www.casamentos.pt/hotel-casamento/hotel-dolce-camporeal--e95384" TargetMode="External"/><Relationship Id="rId785" Type="http://schemas.openxmlformats.org/officeDocument/2006/relationships/hyperlink" Target="https://www.casamentos.pt/quintas-para-casamentos/quinta-de-santo-antonio--e156531" TargetMode="External"/><Relationship Id="rId1132" Type="http://schemas.openxmlformats.org/officeDocument/2006/relationships/hyperlink" Target="https://www.casamentos.pt/quintas-para-casamentos/paraiso-douro--e104363" TargetMode="External"/><Relationship Id="rId300" Type="http://schemas.openxmlformats.org/officeDocument/2006/relationships/hyperlink" Target="https://www.casamentos.pt/restaurantes-para-casamentos/restaurante-jardim--e147419" TargetMode="External"/><Relationship Id="rId542" Type="http://schemas.openxmlformats.org/officeDocument/2006/relationships/hyperlink" Target="https://www.casamentos.pt/quintas-para-casamentos/quinta-do-bretao--e77718" TargetMode="External"/><Relationship Id="rId784" Type="http://schemas.openxmlformats.org/officeDocument/2006/relationships/hyperlink" Target="https://www.casamentos.pt/quintas-para-casamentos/quinta-rio-este--e90986" TargetMode="External"/><Relationship Id="rId1133" Type="http://schemas.openxmlformats.org/officeDocument/2006/relationships/hyperlink" Target="https://www.casamentos.pt/quintas-para-casamentos/paco-dos-cunhas--e119578" TargetMode="External"/><Relationship Id="rId541" Type="http://schemas.openxmlformats.org/officeDocument/2006/relationships/hyperlink" Target="https://www.casamentos.pt/restaurantes-para-casamentos/restaurante-o-padeiro--e113522" TargetMode="External"/><Relationship Id="rId783" Type="http://schemas.openxmlformats.org/officeDocument/2006/relationships/hyperlink" Target="https://www.casamentos.pt/quintas-para-casamentos/casa-valxisto--e114441" TargetMode="External"/><Relationship Id="rId1134" Type="http://schemas.openxmlformats.org/officeDocument/2006/relationships/hyperlink" Target="https://www.casamentos.pt/quintas-para-casamentos/solar-do-fundo-da-rua-douro--e159857" TargetMode="External"/><Relationship Id="rId540" Type="http://schemas.openxmlformats.org/officeDocument/2006/relationships/hyperlink" Target="https://www.casamentos.pt/restaurantes-para-casamentos/tendinha--e114875" TargetMode="External"/><Relationship Id="rId782" Type="http://schemas.openxmlformats.org/officeDocument/2006/relationships/hyperlink" Target="https://www.casamentos.pt/quintas-para-casamentos/quinta-das-essencias--e147281" TargetMode="External"/><Relationship Id="rId1135" Type="http://schemas.openxmlformats.org/officeDocument/2006/relationships/hyperlink" Target="https://www.casamentos.pt/hotel-casamento/montebelo-aguieira-lake-resort-&amp;-spa--e50943" TargetMode="External"/><Relationship Id="rId1125" Type="http://schemas.openxmlformats.org/officeDocument/2006/relationships/hyperlink" Target="https://www.casamentos.pt/quintas-para-casamentos/solar-de-vilar-seco--e166061" TargetMode="External"/><Relationship Id="rId1126" Type="http://schemas.openxmlformats.org/officeDocument/2006/relationships/hyperlink" Target="https://www.casamentos.pt/quintas-para-casamentos/quinta-das-pedras-bem-feitas--e129151" TargetMode="External"/><Relationship Id="rId1127" Type="http://schemas.openxmlformats.org/officeDocument/2006/relationships/hyperlink" Target="https://www.casamentos.pt/hotel-casamento/montebelo-principe-perfeito--e51046" TargetMode="External"/><Relationship Id="rId1128" Type="http://schemas.openxmlformats.org/officeDocument/2006/relationships/hyperlink" Target="https://www.casamentos.pt/quintas-para-casamentos/casa-dos-gomes--e150845" TargetMode="External"/><Relationship Id="rId1129" Type="http://schemas.openxmlformats.org/officeDocument/2006/relationships/hyperlink" Target="https://www.casamentos.pt/quintas-para-casamentos/solar-de-vilar--e51313" TargetMode="External"/><Relationship Id="rId536" Type="http://schemas.openxmlformats.org/officeDocument/2006/relationships/hyperlink" Target="https://www.casamentos.pt/quintas-para-casamentos/quinta-do-mirante--e155567" TargetMode="External"/><Relationship Id="rId778" Type="http://schemas.openxmlformats.org/officeDocument/2006/relationships/hyperlink" Target="https://www.casamentos.pt/quintas-para-casamentos/quinta-do-colegio--e112349" TargetMode="External"/><Relationship Id="rId535" Type="http://schemas.openxmlformats.org/officeDocument/2006/relationships/hyperlink" Target="https://www.casamentos.pt/quintas-para-casamentos/quinta-santa-maria--e46999" TargetMode="External"/><Relationship Id="rId777" Type="http://schemas.openxmlformats.org/officeDocument/2006/relationships/hyperlink" Target="https://www.casamentos.pt/quintas-para-casamentos/quinta-do-soutelo--e147497" TargetMode="External"/><Relationship Id="rId534" Type="http://schemas.openxmlformats.org/officeDocument/2006/relationships/hyperlink" Target="https://www.casamentos.pt/quintas-para-casamentos/quinta-da-praia--e76955" TargetMode="External"/><Relationship Id="rId776" Type="http://schemas.openxmlformats.org/officeDocument/2006/relationships/hyperlink" Target="https://www.casamentos.pt/quintas-para-casamentos/quinta-santa-cruz--e51620" TargetMode="External"/><Relationship Id="rId533" Type="http://schemas.openxmlformats.org/officeDocument/2006/relationships/hyperlink" Target="https://www.casamentos.pt/quintas-para-casamentos/quinta-do-encanto--e162055" TargetMode="External"/><Relationship Id="rId775" Type="http://schemas.openxmlformats.org/officeDocument/2006/relationships/hyperlink" Target="https://www.casamentos.pt/quintas-para-casamentos/quinta-das-susandas--e109416" TargetMode="External"/><Relationship Id="rId539" Type="http://schemas.openxmlformats.org/officeDocument/2006/relationships/hyperlink" Target="https://www.casamentos.pt/hotel-casamento/hotel-real-oeiras--e77343" TargetMode="External"/><Relationship Id="rId538" Type="http://schemas.openxmlformats.org/officeDocument/2006/relationships/hyperlink" Target="https://www.casamentos.pt/quintas-para-casamentos/plaza-ribeiro-telles--e50635" TargetMode="External"/><Relationship Id="rId537" Type="http://schemas.openxmlformats.org/officeDocument/2006/relationships/hyperlink" Target="https://www.casamentos.pt/quintas-para-casamentos/quinta-dos-cucos--e142609" TargetMode="External"/><Relationship Id="rId779" Type="http://schemas.openxmlformats.org/officeDocument/2006/relationships/hyperlink" Target="https://www.casamentos.pt/quintas-para-casamentos/quinta-d-jose--e90989" TargetMode="External"/><Relationship Id="rId770" Type="http://schemas.openxmlformats.org/officeDocument/2006/relationships/hyperlink" Target="https://www.casamentos.pt/hotel-casamento/santana-hotel-&amp;-spa--e77610" TargetMode="External"/><Relationship Id="rId1120" Type="http://schemas.openxmlformats.org/officeDocument/2006/relationships/hyperlink" Target="https://www.casamentos.pt/quintas-para-casamentos/quinta-dos-compadres--e77734" TargetMode="External"/><Relationship Id="rId532" Type="http://schemas.openxmlformats.org/officeDocument/2006/relationships/hyperlink" Target="https://www.casamentos.pt/quintas-para-casamentos/quinta-pinhal-das-confreirias--e109615" TargetMode="External"/><Relationship Id="rId774" Type="http://schemas.openxmlformats.org/officeDocument/2006/relationships/hyperlink" Target="https://www.casamentos.pt/quintas-para-casamentos/quinta-de-palmazoes--e109931" TargetMode="External"/><Relationship Id="rId1121" Type="http://schemas.openxmlformats.org/officeDocument/2006/relationships/hyperlink" Target="https://www.casamentos.pt/quintas-para-casamentos/quinta-das-oliveiras--e150923" TargetMode="External"/><Relationship Id="rId531" Type="http://schemas.openxmlformats.org/officeDocument/2006/relationships/hyperlink" Target="https://www.casamentos.pt/quintas-para-casamentos/pinheiros-mansos--e141793" TargetMode="External"/><Relationship Id="rId773" Type="http://schemas.openxmlformats.org/officeDocument/2006/relationships/hyperlink" Target="https://www.casamentos.pt/quintas-para-casamentos/o-campo--e76782" TargetMode="External"/><Relationship Id="rId1122" Type="http://schemas.openxmlformats.org/officeDocument/2006/relationships/hyperlink" Target="https://www.casamentos.pt/quintas-para-casamentos/quinta-afonso--e171513" TargetMode="External"/><Relationship Id="rId530" Type="http://schemas.openxmlformats.org/officeDocument/2006/relationships/hyperlink" Target="https://www.casamentos.pt/quintas-para-casamentos/quinta-da-taipa--e51637" TargetMode="External"/><Relationship Id="rId772" Type="http://schemas.openxmlformats.org/officeDocument/2006/relationships/hyperlink" Target="https://www.casamentos.pt/quintas-para-casamentos/casa-macaes--e138625" TargetMode="External"/><Relationship Id="rId1123" Type="http://schemas.openxmlformats.org/officeDocument/2006/relationships/hyperlink" Target="https://www.casamentos.pt/quintas-para-casamentos/quinta-do-terreiro--e104614" TargetMode="External"/><Relationship Id="rId771" Type="http://schemas.openxmlformats.org/officeDocument/2006/relationships/hyperlink" Target="https://www.casamentos.pt/quintas-para-casamentos/casa-do-souto--e51639" TargetMode="External"/><Relationship Id="rId1124" Type="http://schemas.openxmlformats.org/officeDocument/2006/relationships/hyperlink" Target="https://www.casamentos.pt/quintas-para-casamentos/quinta-monteluz--e162921" TargetMode="External"/><Relationship Id="rId1158" Type="http://schemas.openxmlformats.org/officeDocument/2006/relationships/hyperlink" Target="https://www.casamentos.pt/quintas-para-casamentos/estufa-fria-do-jardim-botanico-jose-do-canto--e118042" TargetMode="External"/><Relationship Id="rId1159" Type="http://schemas.openxmlformats.org/officeDocument/2006/relationships/hyperlink" Target="https://www.casamentos.pt/hotel-casamento/terra-nostra-garden-hotel--e90266" TargetMode="External"/><Relationship Id="rId327" Type="http://schemas.openxmlformats.org/officeDocument/2006/relationships/hyperlink" Target="https://www.casamentos.pt/restaurantes-para-casamentos/sem-espinhas-natura-beach--e109688" TargetMode="External"/><Relationship Id="rId569" Type="http://schemas.openxmlformats.org/officeDocument/2006/relationships/hyperlink" Target="https://www.casamentos.pt/quintas-para-casamentos/casa-da-azenha--e47008" TargetMode="External"/><Relationship Id="rId326" Type="http://schemas.openxmlformats.org/officeDocument/2006/relationships/hyperlink" Target="https://www.casamentos.pt/restaurantes-para-casamentos/a-ver-tavira-restaurante--e172013" TargetMode="External"/><Relationship Id="rId568" Type="http://schemas.openxmlformats.org/officeDocument/2006/relationships/hyperlink" Target="https://www.casamentos.pt/hotel-casamento/hotel-real-palacio--e76899" TargetMode="External"/><Relationship Id="rId325" Type="http://schemas.openxmlformats.org/officeDocument/2006/relationships/hyperlink" Target="https://www.casamentos.pt/quintas-para-casamentos/quinta-do-paraiso--e106007" TargetMode="External"/><Relationship Id="rId567" Type="http://schemas.openxmlformats.org/officeDocument/2006/relationships/hyperlink" Target="https://www.casamentos.pt/hotel-casamento/hotel-inglaterra--e77370" TargetMode="External"/><Relationship Id="rId324" Type="http://schemas.openxmlformats.org/officeDocument/2006/relationships/hyperlink" Target="https://www.casamentos.pt/restaurantes-para-casamentos/squash-restaurante--e118728" TargetMode="External"/><Relationship Id="rId566" Type="http://schemas.openxmlformats.org/officeDocument/2006/relationships/hyperlink" Target="https://www.casamentos.pt/hotel-casamento/hotel-riviera--e75961" TargetMode="External"/><Relationship Id="rId329" Type="http://schemas.openxmlformats.org/officeDocument/2006/relationships/hyperlink" Target="https://www.casamentos.pt/quintas-para-casamentos/as-fontes-events-venue--e150370" TargetMode="External"/><Relationship Id="rId328" Type="http://schemas.openxmlformats.org/officeDocument/2006/relationships/hyperlink" Target="https://www.casamentos.pt/restaurantes-para-casamentos/puerto-madero--e122929" TargetMode="External"/><Relationship Id="rId561" Type="http://schemas.openxmlformats.org/officeDocument/2006/relationships/hyperlink" Target="https://www.casamentos.pt/quintas-para-casamentos/quinta-do-serpa-arte-de-bem-servir--e168771" TargetMode="External"/><Relationship Id="rId1150" Type="http://schemas.openxmlformats.org/officeDocument/2006/relationships/hyperlink" Target="https://www.casamentos.pt/hotel-casamento/hotel-ponta-delgada--e110559" TargetMode="External"/><Relationship Id="rId560" Type="http://schemas.openxmlformats.org/officeDocument/2006/relationships/hyperlink" Target="https://www.casamentos.pt/quintas-para-casamentos/casa-da-ribeira--e113187" TargetMode="External"/><Relationship Id="rId1151" Type="http://schemas.openxmlformats.org/officeDocument/2006/relationships/hyperlink" Target="https://www.casamentos.pt/hotel-casamento/hotel-talisman--e113587" TargetMode="External"/><Relationship Id="rId1152" Type="http://schemas.openxmlformats.org/officeDocument/2006/relationships/hyperlink" Target="https://www.casamentos.pt/hotel-casamento/azoris-faial-garden-resort-hotel--e111150" TargetMode="External"/><Relationship Id="rId1153" Type="http://schemas.openxmlformats.org/officeDocument/2006/relationships/hyperlink" Target="https://www.casamentos.pt/hotel-casamento/hotel-marina-atlantico--e90225" TargetMode="External"/><Relationship Id="rId323" Type="http://schemas.openxmlformats.org/officeDocument/2006/relationships/hyperlink" Target="https://www.casamentos.pt/quintas-para-casamentos/real-picadeiro--e107233" TargetMode="External"/><Relationship Id="rId565" Type="http://schemas.openxmlformats.org/officeDocument/2006/relationships/hyperlink" Target="https://www.casamentos.pt/quintas-para-casamentos/quinta-vale-da-villa--e160911" TargetMode="External"/><Relationship Id="rId1154" Type="http://schemas.openxmlformats.org/officeDocument/2006/relationships/hyperlink" Target="https://www.casamentos.pt/restaurantes-para-casamentos/paladares-da-quinta--e135469" TargetMode="External"/><Relationship Id="rId322" Type="http://schemas.openxmlformats.org/officeDocument/2006/relationships/hyperlink" Target="https://www.casamentos.pt/restaurantes-para-casamentos/museu-da-batata-doce--e167757" TargetMode="External"/><Relationship Id="rId564" Type="http://schemas.openxmlformats.org/officeDocument/2006/relationships/hyperlink" Target="https://www.casamentos.pt/quintas-para-casamentos/quinta-mourada--e169689" TargetMode="External"/><Relationship Id="rId1155" Type="http://schemas.openxmlformats.org/officeDocument/2006/relationships/hyperlink" Target="https://www.casamentos.pt/quintas-para-casamentos/quinta-da-madeira-velha--e113559" TargetMode="External"/><Relationship Id="rId321" Type="http://schemas.openxmlformats.org/officeDocument/2006/relationships/hyperlink" Target="https://www.casamentos.pt/hotel-casamento/pestana-alvor-south-beach--e136699" TargetMode="External"/><Relationship Id="rId563" Type="http://schemas.openxmlformats.org/officeDocument/2006/relationships/hyperlink" Target="https://www.casamentos.pt/quintas-para-casamentos/monte-da-loba--e153287" TargetMode="External"/><Relationship Id="rId1156" Type="http://schemas.openxmlformats.org/officeDocument/2006/relationships/hyperlink" Target="https://www.casamentos.pt/hotel-casamento/angra-marina-hotel--e123119" TargetMode="External"/><Relationship Id="rId320" Type="http://schemas.openxmlformats.org/officeDocument/2006/relationships/hyperlink" Target="https://www.casamentos.pt/hotel-casamento/villas-dagua--e109018" TargetMode="External"/><Relationship Id="rId562" Type="http://schemas.openxmlformats.org/officeDocument/2006/relationships/hyperlink" Target="https://www.casamentos.pt/quintas-para-casamentos/aba-da-serra--e173297" TargetMode="External"/><Relationship Id="rId1157" Type="http://schemas.openxmlformats.org/officeDocument/2006/relationships/hyperlink" Target="https://www.casamentos.pt/hotel-casamento/azoris-royal-garden--e110816" TargetMode="External"/><Relationship Id="rId1147" Type="http://schemas.openxmlformats.org/officeDocument/2006/relationships/hyperlink" Target="https://www.casamentos.pt/restaurantes-para-casamentos/restaurante-solar-rei-do-frango--e114192" TargetMode="External"/><Relationship Id="rId1148" Type="http://schemas.openxmlformats.org/officeDocument/2006/relationships/hyperlink" Target="https://www.casamentos.pt/restaurantes-para-casamentos/restaurante-aguia--e123787" TargetMode="External"/><Relationship Id="rId1149" Type="http://schemas.openxmlformats.org/officeDocument/2006/relationships/hyperlink" Target="https://www.casamentos.pt/hotel-casamento/hotel-do-caracol--e50407" TargetMode="External"/><Relationship Id="rId316" Type="http://schemas.openxmlformats.org/officeDocument/2006/relationships/hyperlink" Target="https://www.casamentos.pt/hotel-casamento/monchique-resort-&amp;-spa--e140903" TargetMode="External"/><Relationship Id="rId558" Type="http://schemas.openxmlformats.org/officeDocument/2006/relationships/hyperlink" Target="https://www.casamentos.pt/quintas-para-casamentos/quinta-dos-girassois--e77386" TargetMode="External"/><Relationship Id="rId315" Type="http://schemas.openxmlformats.org/officeDocument/2006/relationships/hyperlink" Target="https://www.casamentos.pt/quintas-para-casamentos/castro-marim-golfe-&amp;-country-club--e98105" TargetMode="External"/><Relationship Id="rId557" Type="http://schemas.openxmlformats.org/officeDocument/2006/relationships/hyperlink" Target="https://www.casamentos.pt/quintas-para-casamentos/vale-da-carva--e114470" TargetMode="External"/><Relationship Id="rId799" Type="http://schemas.openxmlformats.org/officeDocument/2006/relationships/hyperlink" Target="https://www.casamentos.pt/quintas-para-casamentos/casa-de-anciaes--e113605" TargetMode="External"/><Relationship Id="rId314" Type="http://schemas.openxmlformats.org/officeDocument/2006/relationships/hyperlink" Target="https://www.casamentos.pt/quintas-para-casamentos/benamor-golf--e108772" TargetMode="External"/><Relationship Id="rId556" Type="http://schemas.openxmlformats.org/officeDocument/2006/relationships/hyperlink" Target="https://www.casamentos.pt/quintas-para-casamentos/quinta-de-d-carlos--e110964" TargetMode="External"/><Relationship Id="rId798" Type="http://schemas.openxmlformats.org/officeDocument/2006/relationships/hyperlink" Target="https://www.casamentos.pt/quintas-para-casamentos/palacete-dona-maria--e106428" TargetMode="External"/><Relationship Id="rId313" Type="http://schemas.openxmlformats.org/officeDocument/2006/relationships/hyperlink" Target="https://www.casamentos.pt/quintas-para-casamentos/quinta-do-monte-algarve--e104523" TargetMode="External"/><Relationship Id="rId555" Type="http://schemas.openxmlformats.org/officeDocument/2006/relationships/hyperlink" Target="https://www.casamentos.pt/quintas-para-casamentos/casa-da-nossa-senhora-da-paciencia--e136643" TargetMode="External"/><Relationship Id="rId797" Type="http://schemas.openxmlformats.org/officeDocument/2006/relationships/hyperlink" Target="https://www.casamentos.pt/quintas-para-casamentos/quinta-redolho-de-cima--e90997" TargetMode="External"/><Relationship Id="rId319" Type="http://schemas.openxmlformats.org/officeDocument/2006/relationships/hyperlink" Target="https://www.casamentos.pt/hotel-casamento/o-parque-das-laranjeiras--e50528" TargetMode="External"/><Relationship Id="rId318" Type="http://schemas.openxmlformats.org/officeDocument/2006/relationships/hyperlink" Target="https://www.casamentos.pt/hotel-casamento/agua-hotels-vale-da-lapa--e112264" TargetMode="External"/><Relationship Id="rId317" Type="http://schemas.openxmlformats.org/officeDocument/2006/relationships/hyperlink" Target="https://www.casamentos.pt/hotel-casamento/agua-hotels-riverside--e112294" TargetMode="External"/><Relationship Id="rId559" Type="http://schemas.openxmlformats.org/officeDocument/2006/relationships/hyperlink" Target="https://www.casamentos.pt/quintas-para-casamentos/quinta-nossa-senhora-auxiliadora--e170635" TargetMode="External"/><Relationship Id="rId550" Type="http://schemas.openxmlformats.org/officeDocument/2006/relationships/hyperlink" Target="https://www.casamentos.pt/quintas-para-casamentos/besteiros--e121574" TargetMode="External"/><Relationship Id="rId792" Type="http://schemas.openxmlformats.org/officeDocument/2006/relationships/hyperlink" Target="https://www.casamentos.pt/quintas-para-casamentos/quinta-da-azenha-de-baixo--e50539" TargetMode="External"/><Relationship Id="rId791" Type="http://schemas.openxmlformats.org/officeDocument/2006/relationships/hyperlink" Target="https://www.casamentos.pt/quintas-para-casamentos/quinta-lr-gardens--e46916" TargetMode="External"/><Relationship Id="rId1140" Type="http://schemas.openxmlformats.org/officeDocument/2006/relationships/hyperlink" Target="https://www.casamentos.pt/quintas-para-casamentos/quinta-dos-varais--e134795" TargetMode="External"/><Relationship Id="rId790" Type="http://schemas.openxmlformats.org/officeDocument/2006/relationships/hyperlink" Target="https://www.casamentos.pt/hotel-casamento/crowne-plaza-porto--e76341" TargetMode="External"/><Relationship Id="rId1141" Type="http://schemas.openxmlformats.org/officeDocument/2006/relationships/hyperlink" Target="https://www.casamentos.pt/quintas-para-casamentos/soito-wines-eventos--e151057" TargetMode="External"/><Relationship Id="rId1142" Type="http://schemas.openxmlformats.org/officeDocument/2006/relationships/hyperlink" Target="https://www.casamentos.pt/quintas-para-casamentos/hotel-rural-casa-dos-viscondes-da-varzea--e76168" TargetMode="External"/><Relationship Id="rId312" Type="http://schemas.openxmlformats.org/officeDocument/2006/relationships/hyperlink" Target="https://www.casamentos.pt/hotel-casamento/penina-hotel-&amp;-golf-resort--e50941" TargetMode="External"/><Relationship Id="rId554" Type="http://schemas.openxmlformats.org/officeDocument/2006/relationships/hyperlink" Target="https://www.casamentos.pt/quintas-para-casamentos/quinta-o-profeta--e168265" TargetMode="External"/><Relationship Id="rId796" Type="http://schemas.openxmlformats.org/officeDocument/2006/relationships/hyperlink" Target="https://www.casamentos.pt/quintas-para-casamentos/quinta-do-arco--e50986" TargetMode="External"/><Relationship Id="rId1143" Type="http://schemas.openxmlformats.org/officeDocument/2006/relationships/hyperlink" Target="https://www.casamentos.pt/quintas-para-casamentos/quinta-da-pacheca--e77185" TargetMode="External"/><Relationship Id="rId311" Type="http://schemas.openxmlformats.org/officeDocument/2006/relationships/hyperlink" Target="https://www.casamentos.pt/hotel-casamento/tivoli-marina-portimao--e51688" TargetMode="External"/><Relationship Id="rId553" Type="http://schemas.openxmlformats.org/officeDocument/2006/relationships/hyperlink" Target="https://www.casamentos.pt/restaurantes-para-casamentos/sacramento-chiado--e119868" TargetMode="External"/><Relationship Id="rId795" Type="http://schemas.openxmlformats.org/officeDocument/2006/relationships/hyperlink" Target="https://www.casamentos.pt/quintas-para-casamentos/quinta-paco-eventos--e167049" TargetMode="External"/><Relationship Id="rId1144" Type="http://schemas.openxmlformats.org/officeDocument/2006/relationships/hyperlink" Target="https://www.casamentos.pt/quintas-para-casamentos/quinta-sao-jose-do-barrilario-douro-wine-hotel-&amp;-spa--e169257" TargetMode="External"/><Relationship Id="rId310" Type="http://schemas.openxmlformats.org/officeDocument/2006/relationships/hyperlink" Target="https://www.casamentos.pt/hotel-casamento/mercedes-country-house--e120376" TargetMode="External"/><Relationship Id="rId552" Type="http://schemas.openxmlformats.org/officeDocument/2006/relationships/hyperlink" Target="https://www.casamentos.pt/hotel-casamento/lawrences-hotel--e77469" TargetMode="External"/><Relationship Id="rId794" Type="http://schemas.openxmlformats.org/officeDocument/2006/relationships/hyperlink" Target="https://www.casamentos.pt/quintas-para-casamentos/quinta-cerrado-da-portela--e51701" TargetMode="External"/><Relationship Id="rId1145" Type="http://schemas.openxmlformats.org/officeDocument/2006/relationships/hyperlink" Target="https://www.casamentos.pt/hotel-casamento/terceira-mar-hotel--e95801" TargetMode="External"/><Relationship Id="rId551" Type="http://schemas.openxmlformats.org/officeDocument/2006/relationships/hyperlink" Target="https://www.casamentos.pt/hotel-casamento/noiva-do-mar--e75815" TargetMode="External"/><Relationship Id="rId793" Type="http://schemas.openxmlformats.org/officeDocument/2006/relationships/hyperlink" Target="https://www.casamentos.pt/quintas-para-casamentos/quinta-do-alferes-de-crasto--e54112" TargetMode="External"/><Relationship Id="rId1146" Type="http://schemas.openxmlformats.org/officeDocument/2006/relationships/hyperlink" Target="https://www.casamentos.pt/quintas-para-casamentos/refugio-do-mirante--e162517" TargetMode="External"/><Relationship Id="rId297" Type="http://schemas.openxmlformats.org/officeDocument/2006/relationships/hyperlink" Target="https://www.casamentos.pt/quintas-para-casamentos/quinta-monte-caeiro--e153647" TargetMode="External"/><Relationship Id="rId296" Type="http://schemas.openxmlformats.org/officeDocument/2006/relationships/hyperlink" Target="https://www.casamentos.pt/quintas-para-casamentos/quinta-do-mel--e135123" TargetMode="External"/><Relationship Id="rId295" Type="http://schemas.openxmlformats.org/officeDocument/2006/relationships/hyperlink" Target="https://www.casamentos.pt/hotel-casamento/jupiter-algarve-hotel--e109589" TargetMode="External"/><Relationship Id="rId294" Type="http://schemas.openxmlformats.org/officeDocument/2006/relationships/hyperlink" Target="https://www.casamentos.pt/hotel-casamento/hotel-vila-gale-albacora--e106575" TargetMode="External"/><Relationship Id="rId299" Type="http://schemas.openxmlformats.org/officeDocument/2006/relationships/hyperlink" Target="https://www.casamentos.pt/hotel-casamento/alte-hotel--e108770" TargetMode="External"/><Relationship Id="rId298" Type="http://schemas.openxmlformats.org/officeDocument/2006/relationships/hyperlink" Target="https://www.casamentos.pt/quintas-para-casamentos/quinta-da-ribeira--e109887" TargetMode="External"/><Relationship Id="rId271" Type="http://schemas.openxmlformats.org/officeDocument/2006/relationships/hyperlink" Target="https://www.casamentos.pt/hotel-casamento/mar-de-ar-hotel-aqueduto--e51096" TargetMode="External"/><Relationship Id="rId270" Type="http://schemas.openxmlformats.org/officeDocument/2006/relationships/hyperlink" Target="https://www.casamentos.pt/hotel-casamento/mar-de-ar-muralhas--e112881" TargetMode="External"/><Relationship Id="rId269" Type="http://schemas.openxmlformats.org/officeDocument/2006/relationships/hyperlink" Target="https://www.casamentos.pt/hotel-casamento/hotel-pateo-dos-solares--e106505" TargetMode="External"/><Relationship Id="rId264" Type="http://schemas.openxmlformats.org/officeDocument/2006/relationships/hyperlink" Target="https://www.casamentos.pt/quintas-para-casamentos/herdade-da-casa-branca--e107441" TargetMode="External"/><Relationship Id="rId263" Type="http://schemas.openxmlformats.org/officeDocument/2006/relationships/hyperlink" Target="https://www.casamentos.pt/quintas-para-casamentos/quinta-nova-do-degebe-galhetas--e110144" TargetMode="External"/><Relationship Id="rId262" Type="http://schemas.openxmlformats.org/officeDocument/2006/relationships/hyperlink" Target="https://www.casamentos.pt/quintas-para-casamentos/ribafreixo-wines--e122741" TargetMode="External"/><Relationship Id="rId261" Type="http://schemas.openxmlformats.org/officeDocument/2006/relationships/hyperlink" Target="https://www.casamentos.pt/quintas-para-casamentos/herdade-da-valeira--e156031" TargetMode="External"/><Relationship Id="rId268" Type="http://schemas.openxmlformats.org/officeDocument/2006/relationships/hyperlink" Target="https://www.casamentos.pt/quintas-para-casamentos/monte-da-oliveirinha-country-house-&amp;-events--e147537" TargetMode="External"/><Relationship Id="rId267" Type="http://schemas.openxmlformats.org/officeDocument/2006/relationships/hyperlink" Target="https://www.casamentos.pt/hotel-casamento/alentejo-marmoris-hotel-&amp;-spa--e130393" TargetMode="External"/><Relationship Id="rId266" Type="http://schemas.openxmlformats.org/officeDocument/2006/relationships/hyperlink" Target="https://www.casamentos.pt/quintas-para-casamentos/sorraia-hotel-rural--e167853" TargetMode="External"/><Relationship Id="rId265" Type="http://schemas.openxmlformats.org/officeDocument/2006/relationships/hyperlink" Target="https://www.casamentos.pt/quintas-para-casamentos/monte-do-sobral--e119006" TargetMode="External"/><Relationship Id="rId260" Type="http://schemas.openxmlformats.org/officeDocument/2006/relationships/hyperlink" Target="https://www.casamentos.pt/quintas-para-casamentos/piramides-de-sao-pedro--e50993" TargetMode="External"/><Relationship Id="rId259" Type="http://schemas.openxmlformats.org/officeDocument/2006/relationships/hyperlink" Target="https://www.casamentos.pt/restaurantes-para-casamentos/restaurante-panoramico-amieira-marina--e113879" TargetMode="External"/><Relationship Id="rId258" Type="http://schemas.openxmlformats.org/officeDocument/2006/relationships/hyperlink" Target="https://www.casamentos.pt/hotel-casamento/estremoz-hotel--e158727" TargetMode="External"/><Relationship Id="rId253" Type="http://schemas.openxmlformats.org/officeDocument/2006/relationships/hyperlink" Target="https://www.casamentos.pt/quintas-para-casamentos/quinta-dos-esconhais--e141813" TargetMode="External"/><Relationship Id="rId495" Type="http://schemas.openxmlformats.org/officeDocument/2006/relationships/hyperlink" Target="https://www.casamentos.pt/restaurantes-para-casamentos/torre-mar-restaurante--e171055" TargetMode="External"/><Relationship Id="rId252" Type="http://schemas.openxmlformats.org/officeDocument/2006/relationships/hyperlink" Target="https://www.casamentos.pt/hotel-casamento/palacio-da-lousa-boutique-hotel--e51617" TargetMode="External"/><Relationship Id="rId494" Type="http://schemas.openxmlformats.org/officeDocument/2006/relationships/hyperlink" Target="https://www.casamentos.pt/restaurantes-para-casamentos/varanda-de-lisboa-restaurante--e106588" TargetMode="External"/><Relationship Id="rId251" Type="http://schemas.openxmlformats.org/officeDocument/2006/relationships/hyperlink" Target="https://www.casamentos.pt/quintas-para-casamentos/quinta-oliveira--e114550" TargetMode="External"/><Relationship Id="rId493" Type="http://schemas.openxmlformats.org/officeDocument/2006/relationships/hyperlink" Target="https://www.casamentos.pt/hotel-casamento/hotel-vila-gale-ericeira--e105510" TargetMode="External"/><Relationship Id="rId250" Type="http://schemas.openxmlformats.org/officeDocument/2006/relationships/hyperlink" Target="https://www.casamentos.pt/quintas-para-casamentos/quinta-da-pintoura--e50974" TargetMode="External"/><Relationship Id="rId492" Type="http://schemas.openxmlformats.org/officeDocument/2006/relationships/hyperlink" Target="https://www.casamentos.pt/hotel-casamento/jupiter-lisboa-hotel--e157891" TargetMode="External"/><Relationship Id="rId257" Type="http://schemas.openxmlformats.org/officeDocument/2006/relationships/hyperlink" Target="https://www.casamentos.pt/restaurantes-para-casamentos/sem-fim-restaurante--e110393" TargetMode="External"/><Relationship Id="rId499" Type="http://schemas.openxmlformats.org/officeDocument/2006/relationships/hyperlink" Target="https://www.casamentos.pt/quintas-para-casamentos/quinta-do-almirante--e106199" TargetMode="External"/><Relationship Id="rId256" Type="http://schemas.openxmlformats.org/officeDocument/2006/relationships/hyperlink" Target="https://www.casamentos.pt/quintas-para-casamentos/maroteira-eventos--e122583" TargetMode="External"/><Relationship Id="rId498" Type="http://schemas.openxmlformats.org/officeDocument/2006/relationships/hyperlink" Target="https://www.casamentos.pt/quintas-para-casamentos/casa-no-campo-by-belas-clube-de-campo--e168845" TargetMode="External"/><Relationship Id="rId255" Type="http://schemas.openxmlformats.org/officeDocument/2006/relationships/hyperlink" Target="https://www.casamentos.pt/quintas-para-casamentos/conimbriga-hotel-do-paco--e87102" TargetMode="External"/><Relationship Id="rId497" Type="http://schemas.openxmlformats.org/officeDocument/2006/relationships/hyperlink" Target="https://www.casamentos.pt/quintas-para-casamentos/quinta-de-santa-teresinha--e76624" TargetMode="External"/><Relationship Id="rId254" Type="http://schemas.openxmlformats.org/officeDocument/2006/relationships/hyperlink" Target="https://www.casamentos.pt/hotel-casamento/miravillas-hotel--e51628" TargetMode="External"/><Relationship Id="rId496" Type="http://schemas.openxmlformats.org/officeDocument/2006/relationships/hyperlink" Target="https://www.casamentos.pt/restaurantes-para-casamentos/cerrado-da-loba--e117826" TargetMode="External"/><Relationship Id="rId293" Type="http://schemas.openxmlformats.org/officeDocument/2006/relationships/hyperlink" Target="https://www.casamentos.pt/restaurantes-para-casamentos/solar-das-oliveiras--e105821" TargetMode="External"/><Relationship Id="rId292" Type="http://schemas.openxmlformats.org/officeDocument/2006/relationships/hyperlink" Target="https://www.casamentos.pt/restaurantes-para-casamentos/elementos--e114171" TargetMode="External"/><Relationship Id="rId291" Type="http://schemas.openxmlformats.org/officeDocument/2006/relationships/hyperlink" Target="https://www.casamentos.pt/restaurantes-para-casamentos/restaurante-churrasqueira-mursa--e120860" TargetMode="External"/><Relationship Id="rId290" Type="http://schemas.openxmlformats.org/officeDocument/2006/relationships/hyperlink" Target="https://www.casamentos.pt/restaurantes-para-casamentos/restaurante-o-antonio--e108063" TargetMode="External"/><Relationship Id="rId286" Type="http://schemas.openxmlformats.org/officeDocument/2006/relationships/hyperlink" Target="https://www.casamentos.pt/salao-para-casamento/spazio-m--e129769" TargetMode="External"/><Relationship Id="rId285" Type="http://schemas.openxmlformats.org/officeDocument/2006/relationships/hyperlink" Target="https://www.casamentos.pt/restaurantes-para-casamentos/atlantis-restaurante-bar--e110787" TargetMode="External"/><Relationship Id="rId284" Type="http://schemas.openxmlformats.org/officeDocument/2006/relationships/hyperlink" Target="https://www.casamentos.pt/hotel-casamento/hotel-rural-jules-verne--e114986" TargetMode="External"/><Relationship Id="rId283" Type="http://schemas.openxmlformats.org/officeDocument/2006/relationships/hyperlink" Target="https://www.casamentos.pt/restaurantes-para-casamentos/horta-grill--e117464" TargetMode="External"/><Relationship Id="rId289" Type="http://schemas.openxmlformats.org/officeDocument/2006/relationships/hyperlink" Target="https://www.casamentos.pt/quintas-para-casamentos/herdade-bonanza-fun-and-events--e163695" TargetMode="External"/><Relationship Id="rId288" Type="http://schemas.openxmlformats.org/officeDocument/2006/relationships/hyperlink" Target="https://www.casamentos.pt/restaurantes-para-casamentos/restaurante-&amp;-bar-colina-do-sol--e164131" TargetMode="External"/><Relationship Id="rId287" Type="http://schemas.openxmlformats.org/officeDocument/2006/relationships/hyperlink" Target="https://www.casamentos.pt/hotel-casamento/vila-petra--e90165" TargetMode="External"/><Relationship Id="rId282" Type="http://schemas.openxmlformats.org/officeDocument/2006/relationships/hyperlink" Target="https://www.casamentos.pt/restaurantes-para-casamentos/jardim-das-oliveiras--e106345" TargetMode="External"/><Relationship Id="rId281" Type="http://schemas.openxmlformats.org/officeDocument/2006/relationships/hyperlink" Target="https://www.casamentos.pt/salao-para-casamento/land--e108793" TargetMode="External"/><Relationship Id="rId280" Type="http://schemas.openxmlformats.org/officeDocument/2006/relationships/hyperlink" Target="https://www.casamentos.pt/hotel-casamento/convento-do-espinheiro--e49377" TargetMode="External"/><Relationship Id="rId275" Type="http://schemas.openxmlformats.org/officeDocument/2006/relationships/hyperlink" Target="https://www.casamentos.pt/hotel-casamento/hotel-rural-horta-da-moura--e108794" TargetMode="External"/><Relationship Id="rId274" Type="http://schemas.openxmlformats.org/officeDocument/2006/relationships/hyperlink" Target="https://www.casamentos.pt/quintas-para-casamentos/o-regedouro-eventos--e156389" TargetMode="External"/><Relationship Id="rId273" Type="http://schemas.openxmlformats.org/officeDocument/2006/relationships/hyperlink" Target="https://www.casamentos.pt/quintas-para-casamentos/quinta-do-cerrado--e105942" TargetMode="External"/><Relationship Id="rId272" Type="http://schemas.openxmlformats.org/officeDocument/2006/relationships/hyperlink" Target="https://www.casamentos.pt/quintas-para-casamentos/events-by-manjar-de-estremoz--e111112" TargetMode="External"/><Relationship Id="rId279" Type="http://schemas.openxmlformats.org/officeDocument/2006/relationships/hyperlink" Target="https://www.casamentos.pt/quintas-para-casamentos/quinta-do-sande-by-tempero-de-alegria--e169713" TargetMode="External"/><Relationship Id="rId278" Type="http://schemas.openxmlformats.org/officeDocument/2006/relationships/hyperlink" Target="https://www.casamentos.pt/restaurantes-para-casamentos/forno-da-telha--e176403" TargetMode="External"/><Relationship Id="rId277" Type="http://schemas.openxmlformats.org/officeDocument/2006/relationships/hyperlink" Target="https://www.casamentos.pt/quintas-para-casamentos/quinta-do-cacador--e161105" TargetMode="External"/><Relationship Id="rId276" Type="http://schemas.openxmlformats.org/officeDocument/2006/relationships/hyperlink" Target="https://www.casamentos.pt/quintas-para-casamentos/quinta-do-louredo--e151151" TargetMode="External"/><Relationship Id="rId907" Type="http://schemas.openxmlformats.org/officeDocument/2006/relationships/hyperlink" Target="https://www.casamentos.pt/quintas-para-casamentos/quinta-da-gracinda-mateus--e93117" TargetMode="External"/><Relationship Id="rId906" Type="http://schemas.openxmlformats.org/officeDocument/2006/relationships/hyperlink" Target="https://www.casamentos.pt/quintas-para-casamentos/pateo-da-vinha--e114135" TargetMode="External"/><Relationship Id="rId905" Type="http://schemas.openxmlformats.org/officeDocument/2006/relationships/hyperlink" Target="https://www.casamentos.pt/quintas-para-casamentos/jardim-da-cascata-eventos--e109584" TargetMode="External"/><Relationship Id="rId904" Type="http://schemas.openxmlformats.org/officeDocument/2006/relationships/hyperlink" Target="https://www.casamentos.pt/quintas-para-casamentos/segredos-no-paladar-eventos--e110156" TargetMode="External"/><Relationship Id="rId909" Type="http://schemas.openxmlformats.org/officeDocument/2006/relationships/hyperlink" Target="https://www.casamentos.pt/quintas-para-casamentos/quinta-da-bolota--e162253" TargetMode="External"/><Relationship Id="rId908" Type="http://schemas.openxmlformats.org/officeDocument/2006/relationships/hyperlink" Target="https://www.casamentos.pt/restaurantes-para-casamentos/terra-cha-panoramico--e166519" TargetMode="External"/><Relationship Id="rId903" Type="http://schemas.openxmlformats.org/officeDocument/2006/relationships/hyperlink" Target="https://www.casamentos.pt/restaurantes-para-casamentos/inprovavel--e141773" TargetMode="External"/><Relationship Id="rId902" Type="http://schemas.openxmlformats.org/officeDocument/2006/relationships/hyperlink" Target="https://www.casamentos.pt/restaurantes-para-casamentos/lodge-restaurante--e115495" TargetMode="External"/><Relationship Id="rId901" Type="http://schemas.openxmlformats.org/officeDocument/2006/relationships/hyperlink" Target="https://www.casamentos.pt/quintas-para-casamentos/quinta-das-acacias--e111138" TargetMode="External"/><Relationship Id="rId900" Type="http://schemas.openxmlformats.org/officeDocument/2006/relationships/hyperlink" Target="https://www.casamentos.pt/quintas-para-casamentos/quinta-da-tojeira-petals-avenue-eventos--e127179" TargetMode="External"/><Relationship Id="rId929" Type="http://schemas.openxmlformats.org/officeDocument/2006/relationships/hyperlink" Target="https://www.casamentos.pt/quintas-para-casamentos/quinta-dos-anjos--e77715" TargetMode="External"/><Relationship Id="rId928" Type="http://schemas.openxmlformats.org/officeDocument/2006/relationships/hyperlink" Target="https://www.casamentos.pt/restaurantes-para-casamentos/restaurante-o-picadeiro--e75867" TargetMode="External"/><Relationship Id="rId927" Type="http://schemas.openxmlformats.org/officeDocument/2006/relationships/hyperlink" Target="https://www.casamentos.pt/quintas-para-casamentos/quinta-do-castilho--e87149" TargetMode="External"/><Relationship Id="rId926" Type="http://schemas.openxmlformats.org/officeDocument/2006/relationships/hyperlink" Target="https://www.casamentos.pt/quintas-para-casamentos/quinta-da-carnota--e158119" TargetMode="External"/><Relationship Id="rId921" Type="http://schemas.openxmlformats.org/officeDocument/2006/relationships/hyperlink" Target="https://www.casamentos.pt/quintas-para-casamentos/quinta-doliveiras--e118342" TargetMode="External"/><Relationship Id="rId920" Type="http://schemas.openxmlformats.org/officeDocument/2006/relationships/hyperlink" Target="https://www.casamentos.pt/quintas-para-casamentos/quinta-do-falcao--e51675" TargetMode="External"/><Relationship Id="rId925" Type="http://schemas.openxmlformats.org/officeDocument/2006/relationships/hyperlink" Target="https://www.casamentos.pt/quintas-para-casamentos/quinta-do-serpa-auxiliadora-eventos--e157123" TargetMode="External"/><Relationship Id="rId924" Type="http://schemas.openxmlformats.org/officeDocument/2006/relationships/hyperlink" Target="https://www.casamentos.pt/quintas-para-casamentos/quinta-do-casalinho-farto--e126149" TargetMode="External"/><Relationship Id="rId923" Type="http://schemas.openxmlformats.org/officeDocument/2006/relationships/hyperlink" Target="https://www.casamentos.pt/quintas-para-casamentos/quinta-guadalupe-eventos--e50481" TargetMode="External"/><Relationship Id="rId922" Type="http://schemas.openxmlformats.org/officeDocument/2006/relationships/hyperlink" Target="https://www.casamentos.pt/quintas-para-casamentos/quinta-do-talego--e113447" TargetMode="External"/><Relationship Id="rId918" Type="http://schemas.openxmlformats.org/officeDocument/2006/relationships/hyperlink" Target="https://www.casamentos.pt/restaurantes-para-casamentos/solar-do-moinho--e149770" TargetMode="External"/><Relationship Id="rId917" Type="http://schemas.openxmlformats.org/officeDocument/2006/relationships/hyperlink" Target="https://www.casamentos.pt/hotel-casamento/hotel-estalagem-santa-iria--e171221" TargetMode="External"/><Relationship Id="rId916" Type="http://schemas.openxmlformats.org/officeDocument/2006/relationships/hyperlink" Target="https://www.casamentos.pt/quintas-para-casamentos/quinta-do-escaroupim--e51003" TargetMode="External"/><Relationship Id="rId915" Type="http://schemas.openxmlformats.org/officeDocument/2006/relationships/hyperlink" Target="https://www.casamentos.pt/quintas-para-casamentos/quinta-das-sentieiras--e51455" TargetMode="External"/><Relationship Id="rId919" Type="http://schemas.openxmlformats.org/officeDocument/2006/relationships/hyperlink" Target="https://www.casamentos.pt/quintas-para-casamentos/quinta-da-feteira--e50950" TargetMode="External"/><Relationship Id="rId910" Type="http://schemas.openxmlformats.org/officeDocument/2006/relationships/hyperlink" Target="https://www.casamentos.pt/hotel-casamento/santarem-hotel--e50798" TargetMode="External"/><Relationship Id="rId914" Type="http://schemas.openxmlformats.org/officeDocument/2006/relationships/hyperlink" Target="https://www.casamentos.pt/quintas-para-casamentos/quinta-da-atela--e144971" TargetMode="External"/><Relationship Id="rId913" Type="http://schemas.openxmlformats.org/officeDocument/2006/relationships/hyperlink" Target="https://www.casamentos.pt/quintas-para-casamentos/sorraia-hotel-rural--e167853" TargetMode="External"/><Relationship Id="rId912" Type="http://schemas.openxmlformats.org/officeDocument/2006/relationships/hyperlink" Target="https://www.casamentos.pt/quintas-para-casamentos/quinta-da-colina-verde--e113257" TargetMode="External"/><Relationship Id="rId911" Type="http://schemas.openxmlformats.org/officeDocument/2006/relationships/hyperlink" Target="https://www.casamentos.pt/quintas-para-casamentos/quinta-da-fonte-eventos--e113094" TargetMode="External"/><Relationship Id="rId629" Type="http://schemas.openxmlformats.org/officeDocument/2006/relationships/hyperlink" Target="https://www.casamentos.pt/hotel-casamento/hotel-albatroz--e75631" TargetMode="External"/><Relationship Id="rId624" Type="http://schemas.openxmlformats.org/officeDocument/2006/relationships/hyperlink" Target="https://www.casamentos.pt/quintas-para-casamentos/quinta-da-barreta--e49371" TargetMode="External"/><Relationship Id="rId866" Type="http://schemas.openxmlformats.org/officeDocument/2006/relationships/hyperlink" Target="https://www.casamentos.pt/quintas-para-casamentos/quinta-de-segade--e113469" TargetMode="External"/><Relationship Id="rId623" Type="http://schemas.openxmlformats.org/officeDocument/2006/relationships/hyperlink" Target="https://www.casamentos.pt/quintas-para-casamentos/quinta-do-coracao--e51062" TargetMode="External"/><Relationship Id="rId865" Type="http://schemas.openxmlformats.org/officeDocument/2006/relationships/hyperlink" Target="https://www.casamentos.pt/quintas-para-casamentos/quinta-da-eira--e77805" TargetMode="External"/><Relationship Id="rId622" Type="http://schemas.openxmlformats.org/officeDocument/2006/relationships/hyperlink" Target="https://www.casamentos.pt/quintas-para-casamentos/quinta-marques-da-serra--e51163" TargetMode="External"/><Relationship Id="rId864" Type="http://schemas.openxmlformats.org/officeDocument/2006/relationships/hyperlink" Target="https://www.casamentos.pt/quintas-para-casamentos/casa-de-vila-verde--e119194" TargetMode="External"/><Relationship Id="rId621" Type="http://schemas.openxmlformats.org/officeDocument/2006/relationships/hyperlink" Target="https://www.casamentos.pt/hotel-casamento/tivoli-lisboa--e51694" TargetMode="External"/><Relationship Id="rId863" Type="http://schemas.openxmlformats.org/officeDocument/2006/relationships/hyperlink" Target="https://www.casamentos.pt/quintas-para-casamentos/casa-de-montezelo--e48472" TargetMode="External"/><Relationship Id="rId628" Type="http://schemas.openxmlformats.org/officeDocument/2006/relationships/hyperlink" Target="https://www.casamentos.pt/quintas-para-casamentos/quinta-senhora-da-oliveira-pateo-velho--e123143" TargetMode="External"/><Relationship Id="rId627" Type="http://schemas.openxmlformats.org/officeDocument/2006/relationships/hyperlink" Target="https://www.casamentos.pt/quintas-para-casamentos/quinta-dos-gafanhotos--e114011" TargetMode="External"/><Relationship Id="rId869" Type="http://schemas.openxmlformats.org/officeDocument/2006/relationships/hyperlink" Target="https://www.casamentos.pt/hotel-casamento/hotel-vincci-ponte-de-ferro--e149588" TargetMode="External"/><Relationship Id="rId626" Type="http://schemas.openxmlformats.org/officeDocument/2006/relationships/hyperlink" Target="https://www.casamentos.pt/quintas-para-casamentos/quinta-casa-da-adega--e165179" TargetMode="External"/><Relationship Id="rId868" Type="http://schemas.openxmlformats.org/officeDocument/2006/relationships/hyperlink" Target="https://www.casamentos.pt/quintas-para-casamentos/the-astoria-historias-com-alma--e123751" TargetMode="External"/><Relationship Id="rId625" Type="http://schemas.openxmlformats.org/officeDocument/2006/relationships/hyperlink" Target="https://www.casamentos.pt/quintas-para-casamentos/quinta-do-sanguinhal--e172291" TargetMode="External"/><Relationship Id="rId867" Type="http://schemas.openxmlformats.org/officeDocument/2006/relationships/hyperlink" Target="https://www.casamentos.pt/quintas-para-casamentos/bosque-eventos--e124005" TargetMode="External"/><Relationship Id="rId620" Type="http://schemas.openxmlformats.org/officeDocument/2006/relationships/hyperlink" Target="https://www.casamentos.pt/quintas-para-casamentos/herdade-da-emberiza--e164827" TargetMode="External"/><Relationship Id="rId862" Type="http://schemas.openxmlformats.org/officeDocument/2006/relationships/hyperlink" Target="https://www.casamentos.pt/quintas-para-casamentos/golfe-de-amarante--e169283" TargetMode="External"/><Relationship Id="rId861" Type="http://schemas.openxmlformats.org/officeDocument/2006/relationships/hyperlink" Target="https://www.casamentos.pt/quintas-para-casamentos/quinta-da-azenha--e48317" TargetMode="External"/><Relationship Id="rId860" Type="http://schemas.openxmlformats.org/officeDocument/2006/relationships/hyperlink" Target="https://www.casamentos.pt/restaurantes-para-casamentos/praia-da-luz--e76142" TargetMode="External"/><Relationship Id="rId619" Type="http://schemas.openxmlformats.org/officeDocument/2006/relationships/hyperlink" Target="https://www.casamentos.pt/quintas-para-casamentos/quinta-de-monsanto-food-story--e130695" TargetMode="External"/><Relationship Id="rId618" Type="http://schemas.openxmlformats.org/officeDocument/2006/relationships/hyperlink" Target="https://www.casamentos.pt/hotel-casamento/turim-boulevard-hotel--e147605" TargetMode="External"/><Relationship Id="rId613" Type="http://schemas.openxmlformats.org/officeDocument/2006/relationships/hyperlink" Target="https://www.casamentos.pt/quintas-para-casamentos/quinta-do-frade--e47831" TargetMode="External"/><Relationship Id="rId855" Type="http://schemas.openxmlformats.org/officeDocument/2006/relationships/hyperlink" Target="https://www.casamentos.pt/quintas-para-casamentos/quinta-del-rei-wedding-signature--e109016" TargetMode="External"/><Relationship Id="rId612" Type="http://schemas.openxmlformats.org/officeDocument/2006/relationships/hyperlink" Target="https://www.casamentos.pt/restaurantes-para-casamentos/bafureira-sunset-beach-club--e112875" TargetMode="External"/><Relationship Id="rId854" Type="http://schemas.openxmlformats.org/officeDocument/2006/relationships/hyperlink" Target="https://www.casamentos.pt/quintas-para-casamentos/quinta-do-conde-do-paico--e151039" TargetMode="External"/><Relationship Id="rId611" Type="http://schemas.openxmlformats.org/officeDocument/2006/relationships/hyperlink" Target="https://www.casamentos.pt/hotel-casamento/hotel-do-chiado--e77099" TargetMode="External"/><Relationship Id="rId853" Type="http://schemas.openxmlformats.org/officeDocument/2006/relationships/hyperlink" Target="https://www.casamentos.pt/quintas-para-casamentos/quinta-de-alvre--e109734" TargetMode="External"/><Relationship Id="rId610" Type="http://schemas.openxmlformats.org/officeDocument/2006/relationships/hyperlink" Target="https://www.casamentos.pt/quintas-para-casamentos/quinta-da-pimenteira-by-imppacto--e141743" TargetMode="External"/><Relationship Id="rId852" Type="http://schemas.openxmlformats.org/officeDocument/2006/relationships/hyperlink" Target="https://www.casamentos.pt/quintas-para-casamentos/casa-dos-arcos-boavista--e49141" TargetMode="External"/><Relationship Id="rId617" Type="http://schemas.openxmlformats.org/officeDocument/2006/relationships/hyperlink" Target="https://www.casamentos.pt/hotel-casamento/lisbon-marriott-hotel--e75966" TargetMode="External"/><Relationship Id="rId859" Type="http://schemas.openxmlformats.org/officeDocument/2006/relationships/hyperlink" Target="https://www.casamentos.pt/quintas-para-casamentos/beach-wedding-lowe--e140393" TargetMode="External"/><Relationship Id="rId616" Type="http://schemas.openxmlformats.org/officeDocument/2006/relationships/hyperlink" Target="https://www.casamentos.pt/hotel-casamento/intercontinental-lisbon--e76338" TargetMode="External"/><Relationship Id="rId858" Type="http://schemas.openxmlformats.org/officeDocument/2006/relationships/hyperlink" Target="https://www.casamentos.pt/quintas-para-casamentos/quinta-do-mosteiro--e76124" TargetMode="External"/><Relationship Id="rId615" Type="http://schemas.openxmlformats.org/officeDocument/2006/relationships/hyperlink" Target="https://www.casamentos.pt/quintas-para-casamentos/quinta-de-sao-goncalo--e106000" TargetMode="External"/><Relationship Id="rId857" Type="http://schemas.openxmlformats.org/officeDocument/2006/relationships/hyperlink" Target="https://www.casamentos.pt/quintas-para-casamentos/quinta-largo-da-vila--e164311" TargetMode="External"/><Relationship Id="rId614" Type="http://schemas.openxmlformats.org/officeDocument/2006/relationships/hyperlink" Target="https://www.casamentos.pt/quintas-para-casamentos/quinta-dos-lobos--e163023" TargetMode="External"/><Relationship Id="rId856" Type="http://schemas.openxmlformats.org/officeDocument/2006/relationships/hyperlink" Target="https://www.casamentos.pt/quintas-para-casamentos/quinta-da-igreja--e50557" TargetMode="External"/><Relationship Id="rId851" Type="http://schemas.openxmlformats.org/officeDocument/2006/relationships/hyperlink" Target="https://www.casamentos.pt/quintas-para-casamentos/casarao--e115360" TargetMode="External"/><Relationship Id="rId850" Type="http://schemas.openxmlformats.org/officeDocument/2006/relationships/hyperlink" Target="https://www.casamentos.pt/quintas-para-casamentos/quinta-cardeal--e117922" TargetMode="External"/><Relationship Id="rId409" Type="http://schemas.openxmlformats.org/officeDocument/2006/relationships/hyperlink" Target="https://www.casamentos.pt/hotel-casamento/hotel-cristal--e141217" TargetMode="External"/><Relationship Id="rId404" Type="http://schemas.openxmlformats.org/officeDocument/2006/relationships/hyperlink" Target="https://www.casamentos.pt/hotel-casamento/hotel-villa-batalha--e103154" TargetMode="External"/><Relationship Id="rId646" Type="http://schemas.openxmlformats.org/officeDocument/2006/relationships/hyperlink" Target="https://www.casamentos.pt/hotel-casamento/senhora-da-guia--e90144" TargetMode="External"/><Relationship Id="rId888" Type="http://schemas.openxmlformats.org/officeDocument/2006/relationships/hyperlink" Target="https://www.casamentos.pt/restaurantes-para-casamentos/sao-lourenco-by-trincanela--e109810" TargetMode="External"/><Relationship Id="rId403" Type="http://schemas.openxmlformats.org/officeDocument/2006/relationships/hyperlink" Target="https://www.casamentos.pt/hotel-casamento/albergaria-josefa-dobidos-hotel--e95796" TargetMode="External"/><Relationship Id="rId645" Type="http://schemas.openxmlformats.org/officeDocument/2006/relationships/hyperlink" Target="https://www.casamentos.pt/hotel-casamento/charm-nature-boutique-hotel--e162663" TargetMode="External"/><Relationship Id="rId887" Type="http://schemas.openxmlformats.org/officeDocument/2006/relationships/hyperlink" Target="https://www.casamentos.pt/quintas-para-casamentos/quinta-da-torre--e147449" TargetMode="External"/><Relationship Id="rId402" Type="http://schemas.openxmlformats.org/officeDocument/2006/relationships/hyperlink" Target="https://www.casamentos.pt/quintas-para-casamentos/quinta-da-coutada--e105609" TargetMode="External"/><Relationship Id="rId644" Type="http://schemas.openxmlformats.org/officeDocument/2006/relationships/hyperlink" Target="https://www.casamentos.pt/quintas-para-casamentos/quinta-da-bichinha--e48497" TargetMode="External"/><Relationship Id="rId886" Type="http://schemas.openxmlformats.org/officeDocument/2006/relationships/hyperlink" Target="https://www.casamentos.pt/restaurantes-para-casamentos/restaurante-o-miradouro--e111135" TargetMode="External"/><Relationship Id="rId401" Type="http://schemas.openxmlformats.org/officeDocument/2006/relationships/hyperlink" Target="https://www.casamentos.pt/quintas-para-casamentos/quinta-das-macas--e122151" TargetMode="External"/><Relationship Id="rId643" Type="http://schemas.openxmlformats.org/officeDocument/2006/relationships/hyperlink" Target="https://www.casamentos.pt/quintas-para-casamentos/quinta-do-rocio--e167407" TargetMode="External"/><Relationship Id="rId885" Type="http://schemas.openxmlformats.org/officeDocument/2006/relationships/hyperlink" Target="https://www.casamentos.pt/quintas-para-casamentos/cordeiro-barros-farm-house--e169359" TargetMode="External"/><Relationship Id="rId408" Type="http://schemas.openxmlformats.org/officeDocument/2006/relationships/hyperlink" Target="https://www.casamentos.pt/quintas-para-casamentos/casa-adega-do-mosteiro--e76028" TargetMode="External"/><Relationship Id="rId407" Type="http://schemas.openxmlformats.org/officeDocument/2006/relationships/hyperlink" Target="https://www.casamentos.pt/quintas-para-casamentos/quinta-da-concha--e50543" TargetMode="External"/><Relationship Id="rId649" Type="http://schemas.openxmlformats.org/officeDocument/2006/relationships/hyperlink" Target="https://www.casamentos.pt/hotel-casamento/epic-sana-lisboa--e157985" TargetMode="External"/><Relationship Id="rId406" Type="http://schemas.openxmlformats.org/officeDocument/2006/relationships/hyperlink" Target="https://www.casamentos.pt/quintas-para-casamentos/quinta-da-giesta--e104430" TargetMode="External"/><Relationship Id="rId648" Type="http://schemas.openxmlformats.org/officeDocument/2006/relationships/hyperlink" Target="https://www.casamentos.pt/quintas-para-casamentos/condes-valadares--e155695" TargetMode="External"/><Relationship Id="rId405" Type="http://schemas.openxmlformats.org/officeDocument/2006/relationships/hyperlink" Target="https://www.casamentos.pt/restaurantes-para-casamentos/s-sebastiao-restaurante--e118160" TargetMode="External"/><Relationship Id="rId647" Type="http://schemas.openxmlformats.org/officeDocument/2006/relationships/hyperlink" Target="https://www.casamentos.pt/hotel-casamento/onyria-quinta-da-marinha-hotel--e142161" TargetMode="External"/><Relationship Id="rId889" Type="http://schemas.openxmlformats.org/officeDocument/2006/relationships/hyperlink" Target="https://www.casamentos.pt/restaurantes-para-casamentos/restaurante-quinta-do-parque-real--e133907" TargetMode="External"/><Relationship Id="rId880" Type="http://schemas.openxmlformats.org/officeDocument/2006/relationships/hyperlink" Target="https://www.casamentos.pt/quintas-para-casamentos/quinta-da-pedra-salgada--e168463" TargetMode="External"/><Relationship Id="rId400" Type="http://schemas.openxmlformats.org/officeDocument/2006/relationships/hyperlink" Target="https://www.casamentos.pt/hotel-casamento/hotel-lis-batalha--e108069" TargetMode="External"/><Relationship Id="rId642" Type="http://schemas.openxmlformats.org/officeDocument/2006/relationships/hyperlink" Target="https://www.casamentos.pt/quintas-para-casamentos/cerrado-das-fontainhas--e165893" TargetMode="External"/><Relationship Id="rId884" Type="http://schemas.openxmlformats.org/officeDocument/2006/relationships/hyperlink" Target="https://www.casamentos.pt/restaurantes-para-casamentos/vinum-restaurant-&amp;-wine-bar--e113434" TargetMode="External"/><Relationship Id="rId641" Type="http://schemas.openxmlformats.org/officeDocument/2006/relationships/hyperlink" Target="https://www.casamentos.pt/hotel-casamento/penha-longa-hotel--e76519" TargetMode="External"/><Relationship Id="rId883" Type="http://schemas.openxmlformats.org/officeDocument/2006/relationships/hyperlink" Target="https://www.casamentos.pt/quintas-para-casamentos/palacete-camarinha-by-premier-service--e127395" TargetMode="External"/><Relationship Id="rId640" Type="http://schemas.openxmlformats.org/officeDocument/2006/relationships/hyperlink" Target="https://www.casamentos.pt/hotel-casamento/grande-real-villa-italia-hotel-&amp;-spa--e51073" TargetMode="External"/><Relationship Id="rId882" Type="http://schemas.openxmlformats.org/officeDocument/2006/relationships/hyperlink" Target="https://www.casamentos.pt/quintas-para-casamentos/senhora-do-penedo-wellness-gardens--e147491" TargetMode="External"/><Relationship Id="rId881" Type="http://schemas.openxmlformats.org/officeDocument/2006/relationships/hyperlink" Target="https://www.casamentos.pt/hotel-casamento/casa-da-calcada--e49044" TargetMode="External"/><Relationship Id="rId635" Type="http://schemas.openxmlformats.org/officeDocument/2006/relationships/hyperlink" Target="https://www.casamentos.pt/quintas-para-casamentos/quinta-do-casal-novo--e49368" TargetMode="External"/><Relationship Id="rId877" Type="http://schemas.openxmlformats.org/officeDocument/2006/relationships/hyperlink" Target="https://www.casamentos.pt/quintas-para-casamentos/palacete-a-familiar--e173627" TargetMode="External"/><Relationship Id="rId634" Type="http://schemas.openxmlformats.org/officeDocument/2006/relationships/hyperlink" Target="https://www.casamentos.pt/restaurantes-para-casamentos/monte-mar-lisboa--e148085" TargetMode="External"/><Relationship Id="rId876" Type="http://schemas.openxmlformats.org/officeDocument/2006/relationships/hyperlink" Target="https://www.casamentos.pt/quintas-para-casamentos/casa-da-orta--e161579" TargetMode="External"/><Relationship Id="rId633" Type="http://schemas.openxmlformats.org/officeDocument/2006/relationships/hyperlink" Target="https://www.casamentos.pt/hotel-casamento/altis-belem-hotel-&amp;-spa--e76335" TargetMode="External"/><Relationship Id="rId875" Type="http://schemas.openxmlformats.org/officeDocument/2006/relationships/hyperlink" Target="https://www.casamentos.pt/quintas-para-casamentos/quinta-da-devesa--e51451" TargetMode="External"/><Relationship Id="rId632" Type="http://schemas.openxmlformats.org/officeDocument/2006/relationships/hyperlink" Target="https://www.casamentos.pt/hotel-casamento/hotel-the-oitavos--e87011" TargetMode="External"/><Relationship Id="rId874" Type="http://schemas.openxmlformats.org/officeDocument/2006/relationships/hyperlink" Target="https://www.casamentos.pt/quintas-para-casamentos/vale-da-corga-eventos--e131159" TargetMode="External"/><Relationship Id="rId639" Type="http://schemas.openxmlformats.org/officeDocument/2006/relationships/hyperlink" Target="https://www.casamentos.pt/hotel-casamento/masa-hotel-campo-grande--e157797" TargetMode="External"/><Relationship Id="rId638" Type="http://schemas.openxmlformats.org/officeDocument/2006/relationships/hyperlink" Target="https://www.casamentos.pt/hotel-casamento/corinthia-hotel-lisbon--e90201" TargetMode="External"/><Relationship Id="rId637" Type="http://schemas.openxmlformats.org/officeDocument/2006/relationships/hyperlink" Target="https://www.casamentos.pt/quintas-para-casamentos/casa-de-reguengos--e47974" TargetMode="External"/><Relationship Id="rId879" Type="http://schemas.openxmlformats.org/officeDocument/2006/relationships/hyperlink" Target="https://www.casamentos.pt/quintas-para-casamentos/casa-de-quinta--e114704" TargetMode="External"/><Relationship Id="rId636" Type="http://schemas.openxmlformats.org/officeDocument/2006/relationships/hyperlink" Target="https://www.casamentos.pt/quintas-para-casamentos/solar-de-pancas--e112518" TargetMode="External"/><Relationship Id="rId878" Type="http://schemas.openxmlformats.org/officeDocument/2006/relationships/hyperlink" Target="https://www.casamentos.pt/quintas-para-casamentos/mosteiro-sao-bento-da-vitoria--e116062" TargetMode="External"/><Relationship Id="rId631" Type="http://schemas.openxmlformats.org/officeDocument/2006/relationships/hyperlink" Target="https://www.casamentos.pt/hotel-casamento/verride-palacio-de-santa-catarina--e119442" TargetMode="External"/><Relationship Id="rId873" Type="http://schemas.openxmlformats.org/officeDocument/2006/relationships/hyperlink" Target="https://www.casamentos.pt/quintas-para-casamentos/quinta-da-pia--e113024" TargetMode="External"/><Relationship Id="rId630" Type="http://schemas.openxmlformats.org/officeDocument/2006/relationships/hyperlink" Target="https://www.casamentos.pt/hotel-casamento/villa-atlantico-by-intercontinental-cascais-estoril--e142477" TargetMode="External"/><Relationship Id="rId872" Type="http://schemas.openxmlformats.org/officeDocument/2006/relationships/hyperlink" Target="https://www.casamentos.pt/quintas-para-casamentos/boeira-garden-hotel--e106656" TargetMode="External"/><Relationship Id="rId871" Type="http://schemas.openxmlformats.org/officeDocument/2006/relationships/hyperlink" Target="https://www.casamentos.pt/hotel-casamento/neya-porto-hotel--e144316" TargetMode="External"/><Relationship Id="rId870" Type="http://schemas.openxmlformats.org/officeDocument/2006/relationships/hyperlink" Target="https://www.casamentos.pt/hotel-casamento/renaissance-porto-lapa-hotel--e167363" TargetMode="External"/><Relationship Id="rId829" Type="http://schemas.openxmlformats.org/officeDocument/2006/relationships/hyperlink" Target="https://www.casamentos.pt/quintas-para-casamentos/palacete-do-galo--e159551" TargetMode="External"/><Relationship Id="rId828" Type="http://schemas.openxmlformats.org/officeDocument/2006/relationships/hyperlink" Target="https://www.casamentos.pt/quintas-para-casamentos/quinta-santo-adriao--e73482" TargetMode="External"/><Relationship Id="rId827" Type="http://schemas.openxmlformats.org/officeDocument/2006/relationships/hyperlink" Target="https://www.casamentos.pt/quintas-para-casamentos/quinta-da-corredoura--e120452" TargetMode="External"/><Relationship Id="rId822" Type="http://schemas.openxmlformats.org/officeDocument/2006/relationships/hyperlink" Target="https://www.casamentos.pt/quintas-para-casamentos/quinta-da-felicidade-locus-amoenus--e114646" TargetMode="External"/><Relationship Id="rId821" Type="http://schemas.openxmlformats.org/officeDocument/2006/relationships/hyperlink" Target="https://www.casamentos.pt/quintas-para-casamentos/montebello-wedding-events--e109279" TargetMode="External"/><Relationship Id="rId820" Type="http://schemas.openxmlformats.org/officeDocument/2006/relationships/hyperlink" Target="https://www.casamentos.pt/quintas-para-casamentos/quinta-ruinas-do-cerrado--e142971" TargetMode="External"/><Relationship Id="rId826" Type="http://schemas.openxmlformats.org/officeDocument/2006/relationships/hyperlink" Target="https://www.casamentos.pt/quintas-para-casamentos/quinta-espirito-santo--e50463" TargetMode="External"/><Relationship Id="rId825" Type="http://schemas.openxmlformats.org/officeDocument/2006/relationships/hyperlink" Target="https://www.casamentos.pt/quintas-para-casamentos/all-got--e48316" TargetMode="External"/><Relationship Id="rId824" Type="http://schemas.openxmlformats.org/officeDocument/2006/relationships/hyperlink" Target="https://www.casamentos.pt/quintas-para-casamentos/quinta-das-carpas--e113327" TargetMode="External"/><Relationship Id="rId823" Type="http://schemas.openxmlformats.org/officeDocument/2006/relationships/hyperlink" Target="https://www.casamentos.pt/quintas-para-casamentos/quinta-das-oliveiras--e150923" TargetMode="External"/><Relationship Id="rId819" Type="http://schemas.openxmlformats.org/officeDocument/2006/relationships/hyperlink" Target="https://www.casamentos.pt/quintas-para-casamentos/quinta-da-ponte--e90978" TargetMode="External"/><Relationship Id="rId818" Type="http://schemas.openxmlformats.org/officeDocument/2006/relationships/hyperlink" Target="https://www.casamentos.pt/quintas-para-casamentos/quinta-pedras-quebradas--e161773" TargetMode="External"/><Relationship Id="rId817" Type="http://schemas.openxmlformats.org/officeDocument/2006/relationships/hyperlink" Target="https://www.casamentos.pt/quintas-para-casamentos/quinta-do-palacio-rauliana--e50425" TargetMode="External"/><Relationship Id="rId816" Type="http://schemas.openxmlformats.org/officeDocument/2006/relationships/hyperlink" Target="https://www.casamentos.pt/quintas-para-casamentos/quinta-geraldino--e51401" TargetMode="External"/><Relationship Id="rId811" Type="http://schemas.openxmlformats.org/officeDocument/2006/relationships/hyperlink" Target="https://www.casamentos.pt/quintas-para-casamentos/quinta-da-morgadinha--e81881" TargetMode="External"/><Relationship Id="rId810" Type="http://schemas.openxmlformats.org/officeDocument/2006/relationships/hyperlink" Target="https://www.casamentos.pt/quintas-para-casamentos/set-lounge-beach-weddings--e109941" TargetMode="External"/><Relationship Id="rId815" Type="http://schemas.openxmlformats.org/officeDocument/2006/relationships/hyperlink" Target="https://www.casamentos.pt/quintas-para-casamentos/quinta-da-avo--e145055" TargetMode="External"/><Relationship Id="rId814" Type="http://schemas.openxmlformats.org/officeDocument/2006/relationships/hyperlink" Target="https://www.casamentos.pt/quintas-para-casamentos/quinta-do-gestal-by-quintas-&amp;-catering--e51402" TargetMode="External"/><Relationship Id="rId813" Type="http://schemas.openxmlformats.org/officeDocument/2006/relationships/hyperlink" Target="https://www.casamentos.pt/quintas-para-casamentos/quinta-de-cepeda--e51790" TargetMode="External"/><Relationship Id="rId812" Type="http://schemas.openxmlformats.org/officeDocument/2006/relationships/hyperlink" Target="https://www.casamentos.pt/quintas-para-casamentos/quinta-dos-choupos-choupal-dos-melros--e90994" TargetMode="External"/><Relationship Id="rId609" Type="http://schemas.openxmlformats.org/officeDocument/2006/relationships/hyperlink" Target="https://www.casamentos.pt/quintas-para-casamentos/quinta-dos-platanos--e120644" TargetMode="External"/><Relationship Id="rId608" Type="http://schemas.openxmlformats.org/officeDocument/2006/relationships/hyperlink" Target="https://www.casamentos.pt/quintas-para-casamentos/quinta-do-convento-da-visitacao-pateo-velho--e123145" TargetMode="External"/><Relationship Id="rId607" Type="http://schemas.openxmlformats.org/officeDocument/2006/relationships/hyperlink" Target="https://www.casamentos.pt/quintas-para-casamentos/quinta-da-murnalha--e155591" TargetMode="External"/><Relationship Id="rId849" Type="http://schemas.openxmlformats.org/officeDocument/2006/relationships/hyperlink" Target="https://www.casamentos.pt/quintas-para-casamentos/quinta-do-vieira--e119516" TargetMode="External"/><Relationship Id="rId602" Type="http://schemas.openxmlformats.org/officeDocument/2006/relationships/hyperlink" Target="https://www.casamentos.pt/quintas-para-casamentos/quinta-nossa-senhora-da-serra--e50487" TargetMode="External"/><Relationship Id="rId844" Type="http://schemas.openxmlformats.org/officeDocument/2006/relationships/hyperlink" Target="https://www.casamentos.pt/hotel-casamento/hotel-solverde-spa-&amp;-wellness-center--e123853" TargetMode="External"/><Relationship Id="rId601" Type="http://schemas.openxmlformats.org/officeDocument/2006/relationships/hyperlink" Target="https://www.casamentos.pt/quintas-para-casamentos/quinta-do-alto--e50873" TargetMode="External"/><Relationship Id="rId843" Type="http://schemas.openxmlformats.org/officeDocument/2006/relationships/hyperlink" Target="https://www.casamentos.pt/quintas-para-casamentos/forte-de-s-joao-lowe--e118410" TargetMode="External"/><Relationship Id="rId600" Type="http://schemas.openxmlformats.org/officeDocument/2006/relationships/hyperlink" Target="https://www.casamentos.pt/quintas-para-casamentos/quinta-do-barco-by-dario-cabeca--e146541" TargetMode="External"/><Relationship Id="rId842" Type="http://schemas.openxmlformats.org/officeDocument/2006/relationships/hyperlink" Target="https://www.casamentos.pt/quintas-para-casamentos/casa-da-ribeira--e156701" TargetMode="External"/><Relationship Id="rId841" Type="http://schemas.openxmlformats.org/officeDocument/2006/relationships/hyperlink" Target="https://www.casamentos.pt/quintas-para-casamentos/quinta-dos-amores--e113136" TargetMode="External"/><Relationship Id="rId606" Type="http://schemas.openxmlformats.org/officeDocument/2006/relationships/hyperlink" Target="https://www.casamentos.pt/quintas-para-casamentos/grupo-fonte-do-paraiso-quinta-fonte-do-paraiso--e48598" TargetMode="External"/><Relationship Id="rId848" Type="http://schemas.openxmlformats.org/officeDocument/2006/relationships/hyperlink" Target="https://www.casamentos.pt/quintas-para-casamentos/solar-de-sabariz--e167235" TargetMode="External"/><Relationship Id="rId605" Type="http://schemas.openxmlformats.org/officeDocument/2006/relationships/hyperlink" Target="https://www.casamentos.pt/quintas-para-casamentos/grupo-fonte-do-paraiso-quinta-mil-e-uma-noites--e48599" TargetMode="External"/><Relationship Id="rId847" Type="http://schemas.openxmlformats.org/officeDocument/2006/relationships/hyperlink" Target="https://www.casamentos.pt/quintas-para-casamentos/eventos-alto-do-crasto--e156097" TargetMode="External"/><Relationship Id="rId604" Type="http://schemas.openxmlformats.org/officeDocument/2006/relationships/hyperlink" Target="https://www.casamentos.pt/quintas-para-casamentos/quinta-dos-platanos-rgn-eventos--e106474" TargetMode="External"/><Relationship Id="rId846" Type="http://schemas.openxmlformats.org/officeDocument/2006/relationships/hyperlink" Target="https://www.casamentos.pt/quintas-para-casamentos/glicinia-wedding-house--e120678" TargetMode="External"/><Relationship Id="rId603" Type="http://schemas.openxmlformats.org/officeDocument/2006/relationships/hyperlink" Target="https://www.casamentos.pt/quintas-para-casamentos/quinta-pinhal-dos-frades-rgn-eventos--e106473" TargetMode="External"/><Relationship Id="rId845" Type="http://schemas.openxmlformats.org/officeDocument/2006/relationships/hyperlink" Target="https://www.casamentos.pt/restaurantes-para-casamentos/restaurante-quinta-do-fojo--e125609" TargetMode="External"/><Relationship Id="rId840" Type="http://schemas.openxmlformats.org/officeDocument/2006/relationships/hyperlink" Target="https://www.casamentos.pt/quintas-para-casamentos/quinta-da-casa-grande--e144170" TargetMode="External"/><Relationship Id="rId839" Type="http://schemas.openxmlformats.org/officeDocument/2006/relationships/hyperlink" Target="https://www.casamentos.pt/quintas-para-casamentos/quinta-do-casal--e51524" TargetMode="External"/><Relationship Id="rId838" Type="http://schemas.openxmlformats.org/officeDocument/2006/relationships/hyperlink" Target="https://www.casamentos.pt/quintas-para-casamentos/quinta-sao-miguel-de-arcos--e48744" TargetMode="External"/><Relationship Id="rId833" Type="http://schemas.openxmlformats.org/officeDocument/2006/relationships/hyperlink" Target="https://www.casamentos.pt/quintas-para-casamentos/quinta-do-barao--e118940" TargetMode="External"/><Relationship Id="rId832" Type="http://schemas.openxmlformats.org/officeDocument/2006/relationships/hyperlink" Target="https://www.casamentos.pt/quintas-para-casamentos/quinta-do-pinheiro--e75598" TargetMode="External"/><Relationship Id="rId831" Type="http://schemas.openxmlformats.org/officeDocument/2006/relationships/hyperlink" Target="https://www.casamentos.pt/restaurantes-para-casamentos/escondidinho-terrace--e168267" TargetMode="External"/><Relationship Id="rId830" Type="http://schemas.openxmlformats.org/officeDocument/2006/relationships/hyperlink" Target="https://www.casamentos.pt/quintas-para-casamentos/quinta-da-ribeira--e77811" TargetMode="External"/><Relationship Id="rId837" Type="http://schemas.openxmlformats.org/officeDocument/2006/relationships/hyperlink" Target="https://www.casamentos.pt/quintas-para-casamentos/quinta-vila-verde--e107305" TargetMode="External"/><Relationship Id="rId836" Type="http://schemas.openxmlformats.org/officeDocument/2006/relationships/hyperlink" Target="https://www.casamentos.pt/quintas-para-casamentos/quinta-dos-jasmins--e125369" TargetMode="External"/><Relationship Id="rId835" Type="http://schemas.openxmlformats.org/officeDocument/2006/relationships/hyperlink" Target="https://www.casamentos.pt/quintas-para-casamentos/colina-do-romao--e132463" TargetMode="External"/><Relationship Id="rId834" Type="http://schemas.openxmlformats.org/officeDocument/2006/relationships/hyperlink" Target="https://www.casamentos.pt/quintas-para-casamentos/indulgent--e130193" TargetMode="External"/><Relationship Id="rId1059" Type="http://schemas.openxmlformats.org/officeDocument/2006/relationships/hyperlink" Target="https://www.casamentos.pt/hotel-casamento/paco-de-calheiros--e110039" TargetMode="External"/><Relationship Id="rId228" Type="http://schemas.openxmlformats.org/officeDocument/2006/relationships/hyperlink" Target="https://www.casamentos.pt/quintas-para-casamentos/quinta-da-couceira--e51415" TargetMode="External"/><Relationship Id="rId227" Type="http://schemas.openxmlformats.org/officeDocument/2006/relationships/hyperlink" Target="https://www.casamentos.pt/quintas-para-casamentos/essences-lousa--e169061" TargetMode="External"/><Relationship Id="rId469" Type="http://schemas.openxmlformats.org/officeDocument/2006/relationships/hyperlink" Target="https://www.casamentos.pt/quintas-para-casamentos/quinta-dos-negros--e169573" TargetMode="External"/><Relationship Id="rId226" Type="http://schemas.openxmlformats.org/officeDocument/2006/relationships/hyperlink" Target="https://www.casamentos.pt/quintas-para-casamentos/sitio-dos-oliveiras--e48234" TargetMode="External"/><Relationship Id="rId468" Type="http://schemas.openxmlformats.org/officeDocument/2006/relationships/hyperlink" Target="https://www.casamentos.pt/quintas-para-casamentos/quinta-da-rainha--e75803" TargetMode="External"/><Relationship Id="rId225" Type="http://schemas.openxmlformats.org/officeDocument/2006/relationships/hyperlink" Target="https://www.casamentos.pt/quintas-para-casamentos/sitio-amores-perfeitos--e132917" TargetMode="External"/><Relationship Id="rId467" Type="http://schemas.openxmlformats.org/officeDocument/2006/relationships/hyperlink" Target="https://www.casamentos.pt/hotel-casamento/hotel-altis--e76331" TargetMode="External"/><Relationship Id="rId229" Type="http://schemas.openxmlformats.org/officeDocument/2006/relationships/hyperlink" Target="https://www.casamentos.pt/quintas-para-casamentos/quinta-da-hortinha--e51690" TargetMode="External"/><Relationship Id="rId1050" Type="http://schemas.openxmlformats.org/officeDocument/2006/relationships/hyperlink" Target="https://www.casamentos.pt/quintas-para-casamentos/sant-ana-eventos--e104765" TargetMode="External"/><Relationship Id="rId220" Type="http://schemas.openxmlformats.org/officeDocument/2006/relationships/hyperlink" Target="https://www.casamentos.pt/quintas-para-casamentos/restaurante-olea--e141733" TargetMode="External"/><Relationship Id="rId462" Type="http://schemas.openxmlformats.org/officeDocument/2006/relationships/hyperlink" Target="https://www.casamentos.pt/restaurantes-para-casamentos/restaurante-solar-do-nunes--e77178" TargetMode="External"/><Relationship Id="rId1051" Type="http://schemas.openxmlformats.org/officeDocument/2006/relationships/hyperlink" Target="https://www.casamentos.pt/hotel-casamento/hotel-cotto-do-gatto--e154343" TargetMode="External"/><Relationship Id="rId461" Type="http://schemas.openxmlformats.org/officeDocument/2006/relationships/hyperlink" Target="https://www.casamentos.pt/restaurantes-para-casamentos/adega-do-saloio--e175727" TargetMode="External"/><Relationship Id="rId1052" Type="http://schemas.openxmlformats.org/officeDocument/2006/relationships/hyperlink" Target="https://www.casamentos.pt/hotel-casamento/ribeira-collection-hotel-by-piamonte-hotels--e127477" TargetMode="External"/><Relationship Id="rId460" Type="http://schemas.openxmlformats.org/officeDocument/2006/relationships/hyperlink" Target="https://www.casamentos.pt/hotel-casamento/hotel-acores-lisboa--e90269" TargetMode="External"/><Relationship Id="rId1053" Type="http://schemas.openxmlformats.org/officeDocument/2006/relationships/hyperlink" Target="https://www.casamentos.pt/quintas-para-casamentos/quinta-de-caslopo--e89720" TargetMode="External"/><Relationship Id="rId1054" Type="http://schemas.openxmlformats.org/officeDocument/2006/relationships/hyperlink" Target="https://www.casamentos.pt/quintas-para-casamentos/casa-grande-de-fontao-lugar-eventos--e135162" TargetMode="External"/><Relationship Id="rId224" Type="http://schemas.openxmlformats.org/officeDocument/2006/relationships/hyperlink" Target="https://www.casamentos.pt/quintas-para-casamentos/quinta-da-salmanha--e99062" TargetMode="External"/><Relationship Id="rId466" Type="http://schemas.openxmlformats.org/officeDocument/2006/relationships/hyperlink" Target="https://www.casamentos.pt/hotel-casamento/hotel-mundial-rooftop-bar--e76893" TargetMode="External"/><Relationship Id="rId1055" Type="http://schemas.openxmlformats.org/officeDocument/2006/relationships/hyperlink" Target="https://www.casamentos.pt/quintas-para-casamentos/lameiras-eventos--e105484" TargetMode="External"/><Relationship Id="rId223" Type="http://schemas.openxmlformats.org/officeDocument/2006/relationships/hyperlink" Target="https://www.casamentos.pt/quintas-para-casamentos/quinta-real-eventos--e108307" TargetMode="External"/><Relationship Id="rId465" Type="http://schemas.openxmlformats.org/officeDocument/2006/relationships/hyperlink" Target="https://www.casamentos.pt/quintas-para-casamentos/solar-das-camelias--e77642" TargetMode="External"/><Relationship Id="rId1056" Type="http://schemas.openxmlformats.org/officeDocument/2006/relationships/hyperlink" Target="https://www.casamentos.pt/quintas-para-casamentos/vinte-quinta-da-boavista--e176053" TargetMode="External"/><Relationship Id="rId222" Type="http://schemas.openxmlformats.org/officeDocument/2006/relationships/hyperlink" Target="https://www.casamentos.pt/hotel-casamento/convento-do-desagravo-flag-hotel--e128133" TargetMode="External"/><Relationship Id="rId464" Type="http://schemas.openxmlformats.org/officeDocument/2006/relationships/hyperlink" Target="https://www.casamentos.pt/salao-para-casamento/our-lisbon--e127199" TargetMode="External"/><Relationship Id="rId1057" Type="http://schemas.openxmlformats.org/officeDocument/2006/relationships/hyperlink" Target="https://www.casamentos.pt/quintas-para-casamentos/quinta-da-pia--e113024" TargetMode="External"/><Relationship Id="rId221" Type="http://schemas.openxmlformats.org/officeDocument/2006/relationships/hyperlink" Target="https://www.casamentos.pt/hotel-casamento/duecitania-design-hotel--e110699" TargetMode="External"/><Relationship Id="rId463" Type="http://schemas.openxmlformats.org/officeDocument/2006/relationships/hyperlink" Target="https://www.casamentos.pt/restaurantes-para-casamentos/zeno-lounge--e105749" TargetMode="External"/><Relationship Id="rId1058" Type="http://schemas.openxmlformats.org/officeDocument/2006/relationships/hyperlink" Target="https://www.casamentos.pt/quintas-para-casamentos/convento-de-sanpayo--e169169" TargetMode="External"/><Relationship Id="rId1048" Type="http://schemas.openxmlformats.org/officeDocument/2006/relationships/hyperlink" Target="https://www.casamentos.pt/quintas-para-casamentos/solar-de-merufe--e168837" TargetMode="External"/><Relationship Id="rId1049" Type="http://schemas.openxmlformats.org/officeDocument/2006/relationships/hyperlink" Target="https://www.casamentos.pt/quintas-para-casamentos/quinta-do-carvalho--e46980" TargetMode="External"/><Relationship Id="rId217" Type="http://schemas.openxmlformats.org/officeDocument/2006/relationships/hyperlink" Target="https://www.casamentos.pt/quintas-para-casamentos/quinta-vale-pousado--e51070" TargetMode="External"/><Relationship Id="rId459" Type="http://schemas.openxmlformats.org/officeDocument/2006/relationships/hyperlink" Target="https://www.casamentos.pt/hotel-casamento/melia-lisboa-oriente--e106511" TargetMode="External"/><Relationship Id="rId216" Type="http://schemas.openxmlformats.org/officeDocument/2006/relationships/hyperlink" Target="https://www.casamentos.pt/restaurantes-para-casamentos/passaporte-coimbra--e160181" TargetMode="External"/><Relationship Id="rId458" Type="http://schemas.openxmlformats.org/officeDocument/2006/relationships/hyperlink" Target="https://www.casamentos.pt/restaurantes-para-casamentos/o-trilho--e107555" TargetMode="External"/><Relationship Id="rId215" Type="http://schemas.openxmlformats.org/officeDocument/2006/relationships/hyperlink" Target="https://www.casamentos.pt/hotel-casamento/hotel-coimbra-affiliated-by-melia--e106508" TargetMode="External"/><Relationship Id="rId457" Type="http://schemas.openxmlformats.org/officeDocument/2006/relationships/hyperlink" Target="https://www.casamentos.pt/restaurantes-para-casamentos/restaurante-omnia--e166341" TargetMode="External"/><Relationship Id="rId699" Type="http://schemas.openxmlformats.org/officeDocument/2006/relationships/hyperlink" Target="https://www.casamentos.pt/quintas-para-casamentos/quinta-do-liboso--e107325" TargetMode="External"/><Relationship Id="rId214" Type="http://schemas.openxmlformats.org/officeDocument/2006/relationships/hyperlink" Target="https://www.casamentos.pt/restaurantes-para-casamentos/restaurante-cristina--e136219" TargetMode="External"/><Relationship Id="rId456" Type="http://schemas.openxmlformats.org/officeDocument/2006/relationships/hyperlink" Target="https://www.casamentos.pt/salao-para-casamento/casa-das-palmeiras--e105452" TargetMode="External"/><Relationship Id="rId698" Type="http://schemas.openxmlformats.org/officeDocument/2006/relationships/hyperlink" Target="https://www.casamentos.pt/hotel-casamento/four-points-by-sheraton-matosinhos--e154193" TargetMode="External"/><Relationship Id="rId219" Type="http://schemas.openxmlformats.org/officeDocument/2006/relationships/hyperlink" Target="https://www.casamentos.pt/hotel-casamento/eurostars-oasis-plaza--e115503" TargetMode="External"/><Relationship Id="rId218" Type="http://schemas.openxmlformats.org/officeDocument/2006/relationships/hyperlink" Target="https://www.casamentos.pt/quintas-para-casamentos/quinta-de-sao-pedro-da-pousada--e103915" TargetMode="External"/><Relationship Id="rId451" Type="http://schemas.openxmlformats.org/officeDocument/2006/relationships/hyperlink" Target="https://www.casamentos.pt/hotel-casamento/hotel-praia-mar-carcavelos--e75854" TargetMode="External"/><Relationship Id="rId693" Type="http://schemas.openxmlformats.org/officeDocument/2006/relationships/hyperlink" Target="https://www.casamentos.pt/quintas-para-casamentos/quinta-dos-limoeiros--e153429" TargetMode="External"/><Relationship Id="rId1040" Type="http://schemas.openxmlformats.org/officeDocument/2006/relationships/hyperlink" Target="https://www.casamentos.pt/quintas-para-casamentos/quinta-santo-andre--e51469" TargetMode="External"/><Relationship Id="rId450" Type="http://schemas.openxmlformats.org/officeDocument/2006/relationships/hyperlink" Target="https://www.casamentos.pt/quintas-para-casamentos/eventos-na-quinta--e166689" TargetMode="External"/><Relationship Id="rId692" Type="http://schemas.openxmlformats.org/officeDocument/2006/relationships/hyperlink" Target="https://www.casamentos.pt/quintas-para-casamentos/olival-da-cabana-country-life--e111922" TargetMode="External"/><Relationship Id="rId1041" Type="http://schemas.openxmlformats.org/officeDocument/2006/relationships/hyperlink" Target="https://www.casamentos.pt/quintas-para-casamentos/quinta-da-presa--e51666" TargetMode="External"/><Relationship Id="rId691" Type="http://schemas.openxmlformats.org/officeDocument/2006/relationships/hyperlink" Target="https://www.casamentos.pt/restaurantes-para-casamentos/bolinhos-de-amor--e108948" TargetMode="External"/><Relationship Id="rId1042" Type="http://schemas.openxmlformats.org/officeDocument/2006/relationships/hyperlink" Target="https://www.casamentos.pt/quintas-para-casamentos/quinta-do-castanheiral--e114318" TargetMode="External"/><Relationship Id="rId690" Type="http://schemas.openxmlformats.org/officeDocument/2006/relationships/hyperlink" Target="https://www.casamentos.pt/restaurantes-para-casamentos/o-comercial--e77364" TargetMode="External"/><Relationship Id="rId1043" Type="http://schemas.openxmlformats.org/officeDocument/2006/relationships/hyperlink" Target="https://www.casamentos.pt/quintas-para-casamentos/quinta-do-amendo--e167537" TargetMode="External"/><Relationship Id="rId213" Type="http://schemas.openxmlformats.org/officeDocument/2006/relationships/hyperlink" Target="https://www.casamentos.pt/restaurantes-para-casamentos/terraco-da-alta--e150757" TargetMode="External"/><Relationship Id="rId455" Type="http://schemas.openxmlformats.org/officeDocument/2006/relationships/hyperlink" Target="https://www.casamentos.pt/salao-para-casamento/cruzeiros-tejo--e53703" TargetMode="External"/><Relationship Id="rId697" Type="http://schemas.openxmlformats.org/officeDocument/2006/relationships/hyperlink" Target="https://www.casamentos.pt/restaurantes-para-casamentos/soundwich--e130019" TargetMode="External"/><Relationship Id="rId1044" Type="http://schemas.openxmlformats.org/officeDocument/2006/relationships/hyperlink" Target="https://www.casamentos.pt/quintas-para-casamentos/colina-do-romao--e132463" TargetMode="External"/><Relationship Id="rId212" Type="http://schemas.openxmlformats.org/officeDocument/2006/relationships/hyperlink" Target="https://www.casamentos.pt/hotel-casamento/sweet-residence-&amp;-gardens-hotel--e113035" TargetMode="External"/><Relationship Id="rId454" Type="http://schemas.openxmlformats.org/officeDocument/2006/relationships/hyperlink" Target="https://www.casamentos.pt/restaurantes-para-casamentos/a-delicia--e131585" TargetMode="External"/><Relationship Id="rId696" Type="http://schemas.openxmlformats.org/officeDocument/2006/relationships/hyperlink" Target="https://www.casamentos.pt/restaurantes-para-casamentos/dgostar-povoa-de-varzim--e129013" TargetMode="External"/><Relationship Id="rId1045" Type="http://schemas.openxmlformats.org/officeDocument/2006/relationships/hyperlink" Target="https://www.casamentos.pt/quintas-para-casamentos/casa-de-sao-sebastiao--e74882" TargetMode="External"/><Relationship Id="rId211" Type="http://schemas.openxmlformats.org/officeDocument/2006/relationships/hyperlink" Target="https://www.casamentos.pt/quintas-para-casamentos/quinta-da-nora--e106390" TargetMode="External"/><Relationship Id="rId453" Type="http://schemas.openxmlformats.org/officeDocument/2006/relationships/hyperlink" Target="https://www.casamentos.pt/restaurantes-para-casamentos/restaurante-viva-lisboa--e111721" TargetMode="External"/><Relationship Id="rId695" Type="http://schemas.openxmlformats.org/officeDocument/2006/relationships/hyperlink" Target="https://www.casamentos.pt/restaurantes-para-casamentos/restaurante-casa-da-musica--e175811" TargetMode="External"/><Relationship Id="rId1046" Type="http://schemas.openxmlformats.org/officeDocument/2006/relationships/hyperlink" Target="https://www.casamentos.pt/quintas-para-casamentos/quinta-do-cruzeiro--e109900" TargetMode="External"/><Relationship Id="rId210" Type="http://schemas.openxmlformats.org/officeDocument/2006/relationships/hyperlink" Target="https://www.casamentos.pt/hotel-casamento/h2otel--e90142" TargetMode="External"/><Relationship Id="rId452" Type="http://schemas.openxmlformats.org/officeDocument/2006/relationships/hyperlink" Target="https://www.casamentos.pt/restaurantes-para-casamentos/taverna-dalcantara--e110437" TargetMode="External"/><Relationship Id="rId694" Type="http://schemas.openxmlformats.org/officeDocument/2006/relationships/hyperlink" Target="https://www.casamentos.pt/hotel-casamento/hotel-carris-porto-ribeira--e110108" TargetMode="External"/><Relationship Id="rId1047" Type="http://schemas.openxmlformats.org/officeDocument/2006/relationships/hyperlink" Target="https://www.casamentos.pt/quintas-para-casamentos/quinta-sao-bento--e156567" TargetMode="External"/><Relationship Id="rId491" Type="http://schemas.openxmlformats.org/officeDocument/2006/relationships/hyperlink" Target="https://www.casamentos.pt/restaurantes-para-casamentos/casa-da-dizima--e90300" TargetMode="External"/><Relationship Id="rId490" Type="http://schemas.openxmlformats.org/officeDocument/2006/relationships/hyperlink" Target="https://www.casamentos.pt/restaurantes-para-casamentos/faz-figura--e111146" TargetMode="External"/><Relationship Id="rId249" Type="http://schemas.openxmlformats.org/officeDocument/2006/relationships/hyperlink" Target="https://www.casamentos.pt/hotel-casamento/hotel-quinta-das-lagrimas--e124225" TargetMode="External"/><Relationship Id="rId248" Type="http://schemas.openxmlformats.org/officeDocument/2006/relationships/hyperlink" Target="https://www.casamentos.pt/quintas-para-casamentos/quinta-do-sobreiro--e106359" TargetMode="External"/><Relationship Id="rId247" Type="http://schemas.openxmlformats.org/officeDocument/2006/relationships/hyperlink" Target="https://www.casamentos.pt/quintas-para-casamentos/valle-de-canas--e51526" TargetMode="External"/><Relationship Id="rId489" Type="http://schemas.openxmlformats.org/officeDocument/2006/relationships/hyperlink" Target="https://www.casamentos.pt/restaurantes-para-casamentos/bellalisa--e106581" TargetMode="External"/><Relationship Id="rId1070" Type="http://schemas.openxmlformats.org/officeDocument/2006/relationships/hyperlink" Target="https://www.casamentos.pt/quintas-para-casamentos/quinta-da-falgueira--e163431" TargetMode="External"/><Relationship Id="rId1071" Type="http://schemas.openxmlformats.org/officeDocument/2006/relationships/hyperlink" Target="https://www.casamentos.pt/restaurantes-para-casamentos/a-companhia--e143333" TargetMode="External"/><Relationship Id="rId1072" Type="http://schemas.openxmlformats.org/officeDocument/2006/relationships/hyperlink" Target="https://www.casamentos.pt/quintas-para-casamentos/quinta-da-seixeda--e86968" TargetMode="External"/><Relationship Id="rId242" Type="http://schemas.openxmlformats.org/officeDocument/2006/relationships/hyperlink" Target="https://www.casamentos.pt/quintas-para-casamentos/hotel-rural-quinta-da-conchada--e107378" TargetMode="External"/><Relationship Id="rId484" Type="http://schemas.openxmlformats.org/officeDocument/2006/relationships/hyperlink" Target="https://www.casamentos.pt/quintas-para-casamentos/quinta-do-pateo--e134101" TargetMode="External"/><Relationship Id="rId1073" Type="http://schemas.openxmlformats.org/officeDocument/2006/relationships/hyperlink" Target="https://www.casamentos.pt/quintas-para-casamentos/solar-quinta-da-portela--e76006" TargetMode="External"/><Relationship Id="rId241" Type="http://schemas.openxmlformats.org/officeDocument/2006/relationships/hyperlink" Target="https://www.casamentos.pt/quintas-para-casamentos/quinta-do-taipal-eventos--e108790" TargetMode="External"/><Relationship Id="rId483" Type="http://schemas.openxmlformats.org/officeDocument/2006/relationships/hyperlink" Target="https://www.casamentos.pt/restaurantes-para-casamentos/quinta-do-cortador--e112743" TargetMode="External"/><Relationship Id="rId1074" Type="http://schemas.openxmlformats.org/officeDocument/2006/relationships/hyperlink" Target="https://www.casamentos.pt/quintas-para-casamentos/quinta-do-salgueiro--e107606" TargetMode="External"/><Relationship Id="rId240" Type="http://schemas.openxmlformats.org/officeDocument/2006/relationships/hyperlink" Target="https://www.casamentos.pt/quintas-para-casamentos/quintinha-das-carreirinhas--e105960" TargetMode="External"/><Relationship Id="rId482" Type="http://schemas.openxmlformats.org/officeDocument/2006/relationships/hyperlink" Target="https://www.casamentos.pt/restaurantes-para-casamentos/restaurante-varanda-azul--e75845" TargetMode="External"/><Relationship Id="rId1075" Type="http://schemas.openxmlformats.org/officeDocument/2006/relationships/hyperlink" Target="https://www.casamentos.pt/hotel-casamento/hotel-douro-scala--e131279" TargetMode="External"/><Relationship Id="rId481" Type="http://schemas.openxmlformats.org/officeDocument/2006/relationships/hyperlink" Target="https://www.casamentos.pt/restaurantes-para-casamentos/go-a-lisboa--e156059" TargetMode="External"/><Relationship Id="rId1076" Type="http://schemas.openxmlformats.org/officeDocument/2006/relationships/hyperlink" Target="https://www.casamentos.pt/quintas-para-casamentos/quinta-da-charrete--e113563" TargetMode="External"/><Relationship Id="rId246" Type="http://schemas.openxmlformats.org/officeDocument/2006/relationships/hyperlink" Target="https://www.casamentos.pt/hotel-casamento/aqua-village-health-resort-&amp;-spa--e115089" TargetMode="External"/><Relationship Id="rId488" Type="http://schemas.openxmlformats.org/officeDocument/2006/relationships/hyperlink" Target="https://www.casamentos.pt/restaurantes-para-casamentos/estrela-do-mar--e77440" TargetMode="External"/><Relationship Id="rId1077" Type="http://schemas.openxmlformats.org/officeDocument/2006/relationships/hyperlink" Target="https://www.casamentos.pt/quintas-para-casamentos/quinta-belas-vistas-hotel--e159197" TargetMode="External"/><Relationship Id="rId245" Type="http://schemas.openxmlformats.org/officeDocument/2006/relationships/hyperlink" Target="https://www.casamentos.pt/quintas-para-casamentos/quinta-pinhal-do-rei-by-esporao-eventos--e174127" TargetMode="External"/><Relationship Id="rId487" Type="http://schemas.openxmlformats.org/officeDocument/2006/relationships/hyperlink" Target="https://www.casamentos.pt/restaurantes-para-casamentos/verso-rooftop--e171051" TargetMode="External"/><Relationship Id="rId1078" Type="http://schemas.openxmlformats.org/officeDocument/2006/relationships/hyperlink" Target="https://www.casamentos.pt/quintas-para-casamentos/quinta-valle-de-passos--e104425" TargetMode="External"/><Relationship Id="rId244" Type="http://schemas.openxmlformats.org/officeDocument/2006/relationships/hyperlink" Target="https://www.casamentos.pt/quintas-para-casamentos/quinta-d-anta-hotel-rural--e152775" TargetMode="External"/><Relationship Id="rId486" Type="http://schemas.openxmlformats.org/officeDocument/2006/relationships/hyperlink" Target="https://www.casamentos.pt/restaurantes-para-casamentos/restaurante-mercearia-by-vitor-palmilha--e171789" TargetMode="External"/><Relationship Id="rId1079" Type="http://schemas.openxmlformats.org/officeDocument/2006/relationships/hyperlink" Target="https://www.casamentos.pt/quintas-para-casamentos/quinta-do-portal--e110749" TargetMode="External"/><Relationship Id="rId243" Type="http://schemas.openxmlformats.org/officeDocument/2006/relationships/hyperlink" Target="https://www.casamentos.pt/quintas-para-casamentos/la-maison-regina--e167335" TargetMode="External"/><Relationship Id="rId485" Type="http://schemas.openxmlformats.org/officeDocument/2006/relationships/hyperlink" Target="https://www.casamentos.pt/quintas-para-casamentos/quinta-rainha-de-belas--e172165" TargetMode="External"/><Relationship Id="rId480" Type="http://schemas.openxmlformats.org/officeDocument/2006/relationships/hyperlink" Target="https://www.casamentos.pt/restaurantes-para-casamentos/estacao-menina-bonita--e166021" TargetMode="External"/><Relationship Id="rId239" Type="http://schemas.openxmlformats.org/officeDocument/2006/relationships/hyperlink" Target="https://www.casamentos.pt/quintas-para-casamentos/adega-rama--e100645" TargetMode="External"/><Relationship Id="rId238" Type="http://schemas.openxmlformats.org/officeDocument/2006/relationships/hyperlink" Target="https://www.casamentos.pt/quintas-para-casamentos/quinta-do-mourao--e175837" TargetMode="External"/><Relationship Id="rId237" Type="http://schemas.openxmlformats.org/officeDocument/2006/relationships/hyperlink" Target="https://www.casamentos.pt/quintas-para-casamentos/quinta-dona-maria--e50448" TargetMode="External"/><Relationship Id="rId479" Type="http://schemas.openxmlformats.org/officeDocument/2006/relationships/hyperlink" Target="https://www.casamentos.pt/restaurantes-para-casamentos/restaurante-o-nosso-cantinho--e126779" TargetMode="External"/><Relationship Id="rId236" Type="http://schemas.openxmlformats.org/officeDocument/2006/relationships/hyperlink" Target="https://www.casamentos.pt/quintas-para-casamentos/quinta-do-monte-redondo--e113820" TargetMode="External"/><Relationship Id="rId478" Type="http://schemas.openxmlformats.org/officeDocument/2006/relationships/hyperlink" Target="https://www.casamentos.pt/restaurantes-para-casamentos/sabores-de-sintra--e132887" TargetMode="External"/><Relationship Id="rId1060" Type="http://schemas.openxmlformats.org/officeDocument/2006/relationships/hyperlink" Target="https://www.casamentos.pt/hotel-casamento/forte-de-sao-francisco-hotel-chaves--e113589" TargetMode="External"/><Relationship Id="rId1061" Type="http://schemas.openxmlformats.org/officeDocument/2006/relationships/hyperlink" Target="https://www.casamentos.pt/restaurantes-para-casamentos/cais-da-villa--e97566" TargetMode="External"/><Relationship Id="rId231" Type="http://schemas.openxmlformats.org/officeDocument/2006/relationships/hyperlink" Target="https://www.casamentos.pt/quintas-para-casamentos/palacio-quinta-da-portela--e162515" TargetMode="External"/><Relationship Id="rId473" Type="http://schemas.openxmlformats.org/officeDocument/2006/relationships/hyperlink" Target="https://www.casamentos.pt/restaurantes-para-casamentos/restaurante-orixas--e106030" TargetMode="External"/><Relationship Id="rId1062" Type="http://schemas.openxmlformats.org/officeDocument/2006/relationships/hyperlink" Target="https://www.casamentos.pt/quintas-para-casamentos/solar-do-barreiro--e142049" TargetMode="External"/><Relationship Id="rId230" Type="http://schemas.openxmlformats.org/officeDocument/2006/relationships/hyperlink" Target="https://www.casamentos.pt/quintas-para-casamentos/quinta-das-janelas--e51378" TargetMode="External"/><Relationship Id="rId472" Type="http://schemas.openxmlformats.org/officeDocument/2006/relationships/hyperlink" Target="https://www.casamentos.pt/salao-para-casamento/palmayachts--e108418" TargetMode="External"/><Relationship Id="rId1063" Type="http://schemas.openxmlformats.org/officeDocument/2006/relationships/hyperlink" Target="https://www.casamentos.pt/hotel-casamento/hotel-casino-chaves--e114281" TargetMode="External"/><Relationship Id="rId471" Type="http://schemas.openxmlformats.org/officeDocument/2006/relationships/hyperlink" Target="https://www.casamentos.pt/restaurantes-para-casamentos/restaurante-o-camelo--e76812" TargetMode="External"/><Relationship Id="rId1064" Type="http://schemas.openxmlformats.org/officeDocument/2006/relationships/hyperlink" Target="https://www.casamentos.pt/restaurantes-para-casamentos/residencial-borges--e124389" TargetMode="External"/><Relationship Id="rId470" Type="http://schemas.openxmlformats.org/officeDocument/2006/relationships/hyperlink" Target="https://www.casamentos.pt/restaurantes-para-casamentos/restaurante-cindirela--e107551" TargetMode="External"/><Relationship Id="rId1065" Type="http://schemas.openxmlformats.org/officeDocument/2006/relationships/hyperlink" Target="https://www.casamentos.pt/quintas-para-casamentos/quinta-da-cumieira--e131805" TargetMode="External"/><Relationship Id="rId235" Type="http://schemas.openxmlformats.org/officeDocument/2006/relationships/hyperlink" Target="https://www.casamentos.pt/quintas-para-casamentos/quinta-das-abertas--e170043" TargetMode="External"/><Relationship Id="rId477" Type="http://schemas.openxmlformats.org/officeDocument/2006/relationships/hyperlink" Target="https://www.casamentos.pt/restaurantes-para-casamentos/o-regional--e112131" TargetMode="External"/><Relationship Id="rId1066" Type="http://schemas.openxmlformats.org/officeDocument/2006/relationships/hyperlink" Target="https://www.casamentos.pt/quintas-para-casamentos/quinta-da-salgueira--e104403" TargetMode="External"/><Relationship Id="rId234" Type="http://schemas.openxmlformats.org/officeDocument/2006/relationships/hyperlink" Target="https://www.casamentos.pt/quintas-para-casamentos/quinta-do-brijal--e108472" TargetMode="External"/><Relationship Id="rId476" Type="http://schemas.openxmlformats.org/officeDocument/2006/relationships/hyperlink" Target="https://www.casamentos.pt/restaurantes-para-casamentos/churrascaria-narcadonoe--e174889" TargetMode="External"/><Relationship Id="rId1067" Type="http://schemas.openxmlformats.org/officeDocument/2006/relationships/hyperlink" Target="https://www.casamentos.pt/quintas-para-casamentos/quinta-da-mata--e51664" TargetMode="External"/><Relationship Id="rId233" Type="http://schemas.openxmlformats.org/officeDocument/2006/relationships/hyperlink" Target="https://www.casamentos.pt/quintas-para-casamentos/palacio-quinta-da-portela--e162515" TargetMode="External"/><Relationship Id="rId475" Type="http://schemas.openxmlformats.org/officeDocument/2006/relationships/hyperlink" Target="https://www.casamentos.pt/restaurantes-para-casamentos/taskinha-dos-sabores--e113448" TargetMode="External"/><Relationship Id="rId1068" Type="http://schemas.openxmlformats.org/officeDocument/2006/relationships/hyperlink" Target="https://www.casamentos.pt/quintas-para-casamentos/quinta-do-prado-novo--e119582" TargetMode="External"/><Relationship Id="rId232" Type="http://schemas.openxmlformats.org/officeDocument/2006/relationships/hyperlink" Target="https://www.casamentos.pt/quintas-para-casamentos/quinta-do-hospicio--e142255" TargetMode="External"/><Relationship Id="rId474" Type="http://schemas.openxmlformats.org/officeDocument/2006/relationships/hyperlink" Target="https://www.casamentos.pt/quintas-para-casamentos/quinta-cristo-rei-de-sintra--e76626" TargetMode="External"/><Relationship Id="rId1069" Type="http://schemas.openxmlformats.org/officeDocument/2006/relationships/hyperlink" Target="https://www.casamentos.pt/hotel-casamento/hotel-regua-douro--e51123" TargetMode="External"/><Relationship Id="rId1015" Type="http://schemas.openxmlformats.org/officeDocument/2006/relationships/hyperlink" Target="https://www.casamentos.pt/quintas-para-casamentos/quinta-das-facalvas-by-imppacto--e75968" TargetMode="External"/><Relationship Id="rId1016" Type="http://schemas.openxmlformats.org/officeDocument/2006/relationships/hyperlink" Target="https://www.casamentos.pt/quintas-para-casamentos/quinta-do-david--e108290" TargetMode="External"/><Relationship Id="rId1017" Type="http://schemas.openxmlformats.org/officeDocument/2006/relationships/hyperlink" Target="https://www.casamentos.pt/quintas-para-casamentos/quinta-da-serralheira-by-tempero-de-alegria--e113075" TargetMode="External"/><Relationship Id="rId1018" Type="http://schemas.openxmlformats.org/officeDocument/2006/relationships/hyperlink" Target="https://www.casamentos.pt/quintas-para-casamentos/quinta-dos-platanos--e111904" TargetMode="External"/><Relationship Id="rId1019" Type="http://schemas.openxmlformats.org/officeDocument/2006/relationships/hyperlink" Target="https://www.casamentos.pt/hotel-casamento/independente-comporta--e162661" TargetMode="External"/><Relationship Id="rId426" Type="http://schemas.openxmlformats.org/officeDocument/2006/relationships/hyperlink" Target="https://www.casamentos.pt/quintas-para-casamentos/quinta-do-lagar-moinho-do-porto--e112004" TargetMode="External"/><Relationship Id="rId668" Type="http://schemas.openxmlformats.org/officeDocument/2006/relationships/hyperlink" Target="https://www.casamentos.pt/hotel-casamento/monte-filipe-hotel-&amp;-spa--e167505" TargetMode="External"/><Relationship Id="rId425" Type="http://schemas.openxmlformats.org/officeDocument/2006/relationships/hyperlink" Target="https://www.casamentos.pt/quintas-para-casamentos/jardins-do-barao--e165753" TargetMode="External"/><Relationship Id="rId667" Type="http://schemas.openxmlformats.org/officeDocument/2006/relationships/hyperlink" Target="https://www.casamentos.pt/hotel-casamento/varchotel--e109280" TargetMode="External"/><Relationship Id="rId424" Type="http://schemas.openxmlformats.org/officeDocument/2006/relationships/hyperlink" Target="https://www.casamentos.pt/quintas-para-casamentos/fonte-do-corvo--e107043" TargetMode="External"/><Relationship Id="rId666" Type="http://schemas.openxmlformats.org/officeDocument/2006/relationships/hyperlink" Target="https://www.casamentos.pt/hotel-casamento/vila-gale-collection-elvas--e140411" TargetMode="External"/><Relationship Id="rId423" Type="http://schemas.openxmlformats.org/officeDocument/2006/relationships/hyperlink" Target="https://www.casamentos.pt/quintas-para-casamentos/quinta-da-valinha--e114466" TargetMode="External"/><Relationship Id="rId665" Type="http://schemas.openxmlformats.org/officeDocument/2006/relationships/hyperlink" Target="https://www.casamentos.pt/quintas-para-casamentos/tapada-das-safras--e51240" TargetMode="External"/><Relationship Id="rId429" Type="http://schemas.openxmlformats.org/officeDocument/2006/relationships/hyperlink" Target="https://www.casamentos.pt/quintas-para-casamentos/quinta-dos-castanheiros-morgatoes--e113046" TargetMode="External"/><Relationship Id="rId428" Type="http://schemas.openxmlformats.org/officeDocument/2006/relationships/hyperlink" Target="https://www.casamentos.pt/hotel-casamento/hotel-vila-dobidos--e107496" TargetMode="External"/><Relationship Id="rId427" Type="http://schemas.openxmlformats.org/officeDocument/2006/relationships/hyperlink" Target="https://www.casamentos.pt/quintas-para-casamentos/quinta-do-paul--e76224" TargetMode="External"/><Relationship Id="rId669" Type="http://schemas.openxmlformats.org/officeDocument/2006/relationships/hyperlink" Target="https://www.casamentos.pt/restaurantes-para-casamentos/restaurante-a-bolota--e51310" TargetMode="External"/><Relationship Id="rId660" Type="http://schemas.openxmlformats.org/officeDocument/2006/relationships/hyperlink" Target="https://www.casamentos.pt/hotel-casamento/hotel-palacio-estoril--e50958" TargetMode="External"/><Relationship Id="rId1010" Type="http://schemas.openxmlformats.org/officeDocument/2006/relationships/hyperlink" Target="https://www.casamentos.pt/restaurantes-para-casamentos/rampa-beach-club--e110502" TargetMode="External"/><Relationship Id="rId422" Type="http://schemas.openxmlformats.org/officeDocument/2006/relationships/hyperlink" Target="https://www.casamentos.pt/hotel-casamento/praia-del-rey-marriott-golf-&amp;-beach-resort--e51613" TargetMode="External"/><Relationship Id="rId664" Type="http://schemas.openxmlformats.org/officeDocument/2006/relationships/hyperlink" Target="https://www.casamentos.pt/quintas-para-casamentos/quinta-do-gato-preto--e130777" TargetMode="External"/><Relationship Id="rId1011" Type="http://schemas.openxmlformats.org/officeDocument/2006/relationships/hyperlink" Target="https://www.casamentos.pt/restaurantes-para-casamentos/cocobeach--e161699" TargetMode="External"/><Relationship Id="rId421" Type="http://schemas.openxmlformats.org/officeDocument/2006/relationships/hyperlink" Target="https://www.casamentos.pt/quintas-para-casamentos/quinta-dos-birreiros--e51619" TargetMode="External"/><Relationship Id="rId663" Type="http://schemas.openxmlformats.org/officeDocument/2006/relationships/hyperlink" Target="https://www.casamentos.pt/hotel-casamento/the-one-palacio-da-anunciada--e137751" TargetMode="External"/><Relationship Id="rId1012" Type="http://schemas.openxmlformats.org/officeDocument/2006/relationships/hyperlink" Target="https://www.casamentos.pt/quintas-para-casamentos/palacio-dos-antonios--e113828" TargetMode="External"/><Relationship Id="rId420" Type="http://schemas.openxmlformats.org/officeDocument/2006/relationships/hyperlink" Target="https://www.casamentos.pt/quintas-para-casamentos/quinta-do-juncal--e107507" TargetMode="External"/><Relationship Id="rId662" Type="http://schemas.openxmlformats.org/officeDocument/2006/relationships/hyperlink" Target="https://www.casamentos.pt/quintas-para-casamentos/quinta-de-santana--e48315" TargetMode="External"/><Relationship Id="rId1013" Type="http://schemas.openxmlformats.org/officeDocument/2006/relationships/hyperlink" Target="https://www.casamentos.pt/quintas-para-casamentos/quinta-do-joinal--e54161" TargetMode="External"/><Relationship Id="rId661" Type="http://schemas.openxmlformats.org/officeDocument/2006/relationships/hyperlink" Target="https://www.casamentos.pt/hotel-casamento/valverde-sintra-palacio-de-seteais--e51699" TargetMode="External"/><Relationship Id="rId1014" Type="http://schemas.openxmlformats.org/officeDocument/2006/relationships/hyperlink" Target="https://www.casamentos.pt/quintas-para-casamentos/quinta-do-nevada-iii--e46896" TargetMode="External"/><Relationship Id="rId1004" Type="http://schemas.openxmlformats.org/officeDocument/2006/relationships/hyperlink" Target="https://www.casamentos.pt/restaurantes-para-casamentos/restaurante-sal--e165097" TargetMode="External"/><Relationship Id="rId1005" Type="http://schemas.openxmlformats.org/officeDocument/2006/relationships/hyperlink" Target="https://www.casamentos.pt/quintas-para-casamentos/quinta-do-corvo--e98381" TargetMode="External"/><Relationship Id="rId1006" Type="http://schemas.openxmlformats.org/officeDocument/2006/relationships/hyperlink" Target="https://www.casamentos.pt/quintas-para-casamentos/quinta-do-david-ii--e134087" TargetMode="External"/><Relationship Id="rId1007" Type="http://schemas.openxmlformats.org/officeDocument/2006/relationships/hyperlink" Target="https://www.casamentos.pt/quintas-para-casamentos/villa-jardim--e108889" TargetMode="External"/><Relationship Id="rId1008" Type="http://schemas.openxmlformats.org/officeDocument/2006/relationships/hyperlink" Target="https://www.casamentos.pt/quintas-para-casamentos/adega-herdade-da-comporta--e175371" TargetMode="External"/><Relationship Id="rId1009" Type="http://schemas.openxmlformats.org/officeDocument/2006/relationships/hyperlink" Target="https://www.casamentos.pt/hotel-casamento/spatia-comporta--e162071" TargetMode="External"/><Relationship Id="rId415" Type="http://schemas.openxmlformats.org/officeDocument/2006/relationships/hyperlink" Target="https://www.casamentos.pt/hotel-casamento/monte-real-hotel-termas-spa--e106029" TargetMode="External"/><Relationship Id="rId657" Type="http://schemas.openxmlformats.org/officeDocument/2006/relationships/hyperlink" Target="https://www.casamentos.pt/hotel-casamento/palacio-ludovice-wine-experience-hotel--e163331" TargetMode="External"/><Relationship Id="rId899" Type="http://schemas.openxmlformats.org/officeDocument/2006/relationships/hyperlink" Target="https://www.casamentos.pt/restaurantes-para-casamentos/palhinhas-gold-restaurante--e120080" TargetMode="External"/><Relationship Id="rId414" Type="http://schemas.openxmlformats.org/officeDocument/2006/relationships/hyperlink" Target="https://www.casamentos.pt/restaurantes-para-casamentos/a-lareira--e107235" TargetMode="External"/><Relationship Id="rId656" Type="http://schemas.openxmlformats.org/officeDocument/2006/relationships/hyperlink" Target="https://www.casamentos.pt/quintas-para-casamentos/quinta-do-roseiral--e48471" TargetMode="External"/><Relationship Id="rId898" Type="http://schemas.openxmlformats.org/officeDocument/2006/relationships/hyperlink" Target="https://www.casamentos.pt/quintas-para-casamentos/casa-dos-arrabidos--e124073" TargetMode="External"/><Relationship Id="rId413" Type="http://schemas.openxmlformats.org/officeDocument/2006/relationships/hyperlink" Target="https://www.casamentos.pt/quintas-para-casamentos/quinta-da-padeira--e107012" TargetMode="External"/><Relationship Id="rId655" Type="http://schemas.openxmlformats.org/officeDocument/2006/relationships/hyperlink" Target="https://www.casamentos.pt/hotel-casamento/hotel-fortaleza-do-guincho--e50376" TargetMode="External"/><Relationship Id="rId897" Type="http://schemas.openxmlformats.org/officeDocument/2006/relationships/hyperlink" Target="https://www.casamentos.pt/quintas-para-casamentos/quinta-da-concha--e50543" TargetMode="External"/><Relationship Id="rId412" Type="http://schemas.openxmlformats.org/officeDocument/2006/relationships/hyperlink" Target="https://www.casamentos.pt/quintas-para-casamentos/quinta-flor-do-alecrim--e147981" TargetMode="External"/><Relationship Id="rId654" Type="http://schemas.openxmlformats.org/officeDocument/2006/relationships/hyperlink" Target="https://www.casamentos.pt/hotel-casamento/farol-design-hotel--e77091" TargetMode="External"/><Relationship Id="rId896" Type="http://schemas.openxmlformats.org/officeDocument/2006/relationships/hyperlink" Target="https://www.casamentos.pt/quintas-para-casamentos/quinta-de-santa-barbara-by-heavens-sleepy--e161373" TargetMode="External"/><Relationship Id="rId419" Type="http://schemas.openxmlformats.org/officeDocument/2006/relationships/hyperlink" Target="https://www.casamentos.pt/quintas-para-casamentos/quinta-rei-dos-banquetes--e127221" TargetMode="External"/><Relationship Id="rId418" Type="http://schemas.openxmlformats.org/officeDocument/2006/relationships/hyperlink" Target="https://www.casamentos.pt/hotel-casamento/solar-da-rainha-eventos-&amp;-alojamentos--e163003" TargetMode="External"/><Relationship Id="rId417" Type="http://schemas.openxmlformats.org/officeDocument/2006/relationships/hyperlink" Target="https://www.casamentos.pt/hotel-casamento/hotel-praia--e105739" TargetMode="External"/><Relationship Id="rId659" Type="http://schemas.openxmlformats.org/officeDocument/2006/relationships/hyperlink" Target="https://www.casamentos.pt/hotel-casamento/myriad-by-sana--e157711" TargetMode="External"/><Relationship Id="rId416" Type="http://schemas.openxmlformats.org/officeDocument/2006/relationships/hyperlink" Target="https://www.casamentos.pt/quintas-para-casamentos/quinta-do-ti-lucas--e77807" TargetMode="External"/><Relationship Id="rId658" Type="http://schemas.openxmlformats.org/officeDocument/2006/relationships/hyperlink" Target="https://www.casamentos.pt/restaurantes-para-casamentos/sud-lisboa-hall--e156463" TargetMode="External"/><Relationship Id="rId891" Type="http://schemas.openxmlformats.org/officeDocument/2006/relationships/hyperlink" Target="https://www.casamentos.pt/restaurantes-para-casamentos/restaurante-ribagolfe--e106155" TargetMode="External"/><Relationship Id="rId890" Type="http://schemas.openxmlformats.org/officeDocument/2006/relationships/hyperlink" Target="https://www.casamentos.pt/restaurantes-para-casamentos/bonito-by-trincanela--e121610" TargetMode="External"/><Relationship Id="rId411" Type="http://schemas.openxmlformats.org/officeDocument/2006/relationships/hyperlink" Target="https://www.casamentos.pt/salao-para-casamento/salao-millenio--e114181" TargetMode="External"/><Relationship Id="rId653" Type="http://schemas.openxmlformats.org/officeDocument/2006/relationships/hyperlink" Target="https://www.casamentos.pt/hotel-casamento/andaz-lisbon-by-hyatt--e175387" TargetMode="External"/><Relationship Id="rId895" Type="http://schemas.openxmlformats.org/officeDocument/2006/relationships/hyperlink" Target="https://www.casamentos.pt/quintas-para-casamentos/casas-de-sao-jose--e113224" TargetMode="External"/><Relationship Id="rId1000" Type="http://schemas.openxmlformats.org/officeDocument/2006/relationships/hyperlink" Target="https://www.casamentos.pt/quintas-para-casamentos/quinta-dos-girassois--e77386" TargetMode="External"/><Relationship Id="rId410" Type="http://schemas.openxmlformats.org/officeDocument/2006/relationships/hyperlink" Target="https://www.casamentos.pt/restaurantes-para-casamentos/restaurante-a-gralha--e104572" TargetMode="External"/><Relationship Id="rId652" Type="http://schemas.openxmlformats.org/officeDocument/2006/relationships/hyperlink" Target="https://www.casamentos.pt/quintas-para-casamentos/quinta-dos-machados--e48494" TargetMode="External"/><Relationship Id="rId894" Type="http://schemas.openxmlformats.org/officeDocument/2006/relationships/hyperlink" Target="https://www.casamentos.pt/quintas-para-casamentos/quinta-da-esperanca--e176151" TargetMode="External"/><Relationship Id="rId1001" Type="http://schemas.openxmlformats.org/officeDocument/2006/relationships/hyperlink" Target="https://www.casamentos.pt/quintas-para-casamentos/quinta-da-alegria-eventos--e108788" TargetMode="External"/><Relationship Id="rId651" Type="http://schemas.openxmlformats.org/officeDocument/2006/relationships/hyperlink" Target="https://www.casamentos.pt/quintas-para-casamentos/vandelli-botanical-garden--e159469" TargetMode="External"/><Relationship Id="rId893" Type="http://schemas.openxmlformats.org/officeDocument/2006/relationships/hyperlink" Target="https://www.casamentos.pt/quintas-para-casamentos/herdade-da-baracha--e90131" TargetMode="External"/><Relationship Id="rId1002" Type="http://schemas.openxmlformats.org/officeDocument/2006/relationships/hyperlink" Target="https://www.casamentos.pt/quintas-para-casamentos/quinta-das-bispas--e153751" TargetMode="External"/><Relationship Id="rId650" Type="http://schemas.openxmlformats.org/officeDocument/2006/relationships/hyperlink" Target="https://www.casamentos.pt/hotel-casamento/epic-sana-marques-hotel--e148073" TargetMode="External"/><Relationship Id="rId892" Type="http://schemas.openxmlformats.org/officeDocument/2006/relationships/hyperlink" Target="https://www.casamentos.pt/quintas-para-casamentos/cais-de-rio--e121132" TargetMode="External"/><Relationship Id="rId1003" Type="http://schemas.openxmlformats.org/officeDocument/2006/relationships/hyperlink" Target="https://www.casamentos.pt/quintas-para-casamentos/quinta-do-cerrado--e117512" TargetMode="External"/><Relationship Id="rId1037" Type="http://schemas.openxmlformats.org/officeDocument/2006/relationships/hyperlink" Target="https://www.casamentos.pt/quintas-para-casamentos/quinta-de-sao-francisco--e120850" TargetMode="External"/><Relationship Id="rId1038" Type="http://schemas.openxmlformats.org/officeDocument/2006/relationships/hyperlink" Target="https://www.casamentos.pt/quintas-para-casamentos/quinta-do-ribeiro--e50432" TargetMode="External"/><Relationship Id="rId1039" Type="http://schemas.openxmlformats.org/officeDocument/2006/relationships/hyperlink" Target="https://www.casamentos.pt/quintas-para-casamentos/quinta-bica-da-cruz--e90913" TargetMode="External"/><Relationship Id="rId206" Type="http://schemas.openxmlformats.org/officeDocument/2006/relationships/hyperlink" Target="https://www.casamentos.pt/quintas-para-casamentos/quinta-da-liria--e155049" TargetMode="External"/><Relationship Id="rId448" Type="http://schemas.openxmlformats.org/officeDocument/2006/relationships/hyperlink" Target="https://www.casamentos.pt/restaurantes-para-casamentos/o-saloio-de-canecas--e77597" TargetMode="External"/><Relationship Id="rId205" Type="http://schemas.openxmlformats.org/officeDocument/2006/relationships/hyperlink" Target="https://www.casamentos.pt/quintas-para-casamentos/quinta-de-santa-teresinha--e118344" TargetMode="External"/><Relationship Id="rId447" Type="http://schemas.openxmlformats.org/officeDocument/2006/relationships/hyperlink" Target="https://www.casamentos.pt/restaurantes-para-casamentos/7-arte-alfacinha--e109841" TargetMode="External"/><Relationship Id="rId689" Type="http://schemas.openxmlformats.org/officeDocument/2006/relationships/hyperlink" Target="https://www.casamentos.pt/restaurantes-para-casamentos/enseada-1968--e174519" TargetMode="External"/><Relationship Id="rId204" Type="http://schemas.openxmlformats.org/officeDocument/2006/relationships/hyperlink" Target="https://www.casamentos.pt/quintas-para-casamentos/quinta-das-olelas--e104410" TargetMode="External"/><Relationship Id="rId446" Type="http://schemas.openxmlformats.org/officeDocument/2006/relationships/hyperlink" Target="https://www.casamentos.pt/salao-para-casamento/kudissanga-eventos--e172435" TargetMode="External"/><Relationship Id="rId688" Type="http://schemas.openxmlformats.org/officeDocument/2006/relationships/hyperlink" Target="https://www.casamentos.pt/hotel-casamento/vincci-porto--e114648" TargetMode="External"/><Relationship Id="rId203" Type="http://schemas.openxmlformats.org/officeDocument/2006/relationships/hyperlink" Target="https://www.casamentos.pt/hotel-casamento/convento-de-belmonte--e122245" TargetMode="External"/><Relationship Id="rId445" Type="http://schemas.openxmlformats.org/officeDocument/2006/relationships/hyperlink" Target="https://www.casamentos.pt/hotel-casamento/rio-do-prado--e169399" TargetMode="External"/><Relationship Id="rId687" Type="http://schemas.openxmlformats.org/officeDocument/2006/relationships/hyperlink" Target="https://www.casamentos.pt/hotel-casamento/axis-porto-business-&amp;-spa-hotel--e77141" TargetMode="External"/><Relationship Id="rId209" Type="http://schemas.openxmlformats.org/officeDocument/2006/relationships/hyperlink" Target="https://www.casamentos.pt/quintas-para-casamentos/casas-de-alpedrinha--e151391" TargetMode="External"/><Relationship Id="rId208" Type="http://schemas.openxmlformats.org/officeDocument/2006/relationships/hyperlink" Target="https://www.casamentos.pt/quintas-para-casamentos/o-alambique-de-ouro--e104606" TargetMode="External"/><Relationship Id="rId207" Type="http://schemas.openxmlformats.org/officeDocument/2006/relationships/hyperlink" Target="https://www.casamentos.pt/quintas-para-casamentos/casa-da-figueira-grande--e164021" TargetMode="External"/><Relationship Id="rId449" Type="http://schemas.openxmlformats.org/officeDocument/2006/relationships/hyperlink" Target="https://www.casamentos.pt/salao-para-casamento/rosa-ferreira-cafe-e-restaurante--e168147" TargetMode="External"/><Relationship Id="rId440" Type="http://schemas.openxmlformats.org/officeDocument/2006/relationships/hyperlink" Target="https://www.casamentos.pt/quintas-para-casamentos/quinta-da-falca--e51502" TargetMode="External"/><Relationship Id="rId682" Type="http://schemas.openxmlformats.org/officeDocument/2006/relationships/hyperlink" Target="https://www.casamentos.pt/restaurantes-para-casamentos/taberna-santo-antonio--e162971" TargetMode="External"/><Relationship Id="rId681" Type="http://schemas.openxmlformats.org/officeDocument/2006/relationships/hyperlink" Target="https://www.casamentos.pt/quintas-para-casamentos/quinta-da-tapada--e122609" TargetMode="External"/><Relationship Id="rId1030" Type="http://schemas.openxmlformats.org/officeDocument/2006/relationships/hyperlink" Target="https://www.casamentos.pt/hotel-casamento/hotel-minho--e108705" TargetMode="External"/><Relationship Id="rId680" Type="http://schemas.openxmlformats.org/officeDocument/2006/relationships/hyperlink" Target="https://www.casamentos.pt/quintas-para-casamentos/monte-da-graca--e166333" TargetMode="External"/><Relationship Id="rId1031" Type="http://schemas.openxmlformats.org/officeDocument/2006/relationships/hyperlink" Target="https://www.casamentos.pt/hotel-casamento/arcos-hotel-nature-&amp;-spa--e112222" TargetMode="External"/><Relationship Id="rId1032" Type="http://schemas.openxmlformats.org/officeDocument/2006/relationships/hyperlink" Target="https://www.casamentos.pt/quintas-para-casamentos/restaurante-dom-julio--e113775" TargetMode="External"/><Relationship Id="rId202" Type="http://schemas.openxmlformats.org/officeDocument/2006/relationships/hyperlink" Target="https://www.casamentos.pt/quintas-para-casamentos/quinta-de-sao-tiago--e116630" TargetMode="External"/><Relationship Id="rId444" Type="http://schemas.openxmlformats.org/officeDocument/2006/relationships/hyperlink" Target="https://www.casamentos.pt/hotel-casamento/vale-dazenha-hotel-rural-&amp;-residences--e156759" TargetMode="External"/><Relationship Id="rId686" Type="http://schemas.openxmlformats.org/officeDocument/2006/relationships/hyperlink" Target="https://www.casamentos.pt/restaurantes-para-casamentos/elebe--e125147" TargetMode="External"/><Relationship Id="rId1033" Type="http://schemas.openxmlformats.org/officeDocument/2006/relationships/hyperlink" Target="https://www.casamentos.pt/quintas-para-casamentos/quinta-do-fincao--e50815" TargetMode="External"/><Relationship Id="rId201" Type="http://schemas.openxmlformats.org/officeDocument/2006/relationships/hyperlink" Target="https://www.casamentos.pt/quintas-para-casamentos/quinta-da-amoreira--e113562" TargetMode="External"/><Relationship Id="rId443" Type="http://schemas.openxmlformats.org/officeDocument/2006/relationships/hyperlink" Target="https://www.casamentos.pt/hotel-casamento/haven-nature-hotel-&amp;-villas--e175547" TargetMode="External"/><Relationship Id="rId685" Type="http://schemas.openxmlformats.org/officeDocument/2006/relationships/hyperlink" Target="https://www.casamentos.pt/restaurantes-para-casamentos/bh--e124875" TargetMode="External"/><Relationship Id="rId1034" Type="http://schemas.openxmlformats.org/officeDocument/2006/relationships/hyperlink" Target="https://www.casamentos.pt/quintas-para-casamentos/casa-rainha--e124163" TargetMode="External"/><Relationship Id="rId200" Type="http://schemas.openxmlformats.org/officeDocument/2006/relationships/hyperlink" Target="https://www.casamentos.pt/quintas-para-casamentos/herdade-senhora-de-mercoles--e174643" TargetMode="External"/><Relationship Id="rId442" Type="http://schemas.openxmlformats.org/officeDocument/2006/relationships/hyperlink" Target="https://www.casamentos.pt/quintas-para-casamentos/quinta-dos-esconhais--e141813" TargetMode="External"/><Relationship Id="rId684" Type="http://schemas.openxmlformats.org/officeDocument/2006/relationships/hyperlink" Target="https://www.casamentos.pt/quintas-para-casamentos/rei-da-picanha-restaurante-&amp;-eventos--e108086" TargetMode="External"/><Relationship Id="rId1035" Type="http://schemas.openxmlformats.org/officeDocument/2006/relationships/hyperlink" Target="https://www.casamentos.pt/quintas-para-casamentos/encosta-do-crasto--e131893" TargetMode="External"/><Relationship Id="rId441" Type="http://schemas.openxmlformats.org/officeDocument/2006/relationships/hyperlink" Target="https://www.casamentos.pt/quintas-para-casamentos/quinta-do-pinheiro-grupo-quinta-dos-lagos--e116988" TargetMode="External"/><Relationship Id="rId683" Type="http://schemas.openxmlformats.org/officeDocument/2006/relationships/hyperlink" Target="https://www.casamentos.pt/quintas-para-casamentos/quinta-de-cedovezas--e77815" TargetMode="External"/><Relationship Id="rId1036" Type="http://schemas.openxmlformats.org/officeDocument/2006/relationships/hyperlink" Target="https://www.casamentos.pt/quintas-para-casamentos/quinta-da-malaposta-boutique-hotel-&amp;-eventos--e141435" TargetMode="External"/><Relationship Id="rId1026" Type="http://schemas.openxmlformats.org/officeDocument/2006/relationships/hyperlink" Target="https://www.casamentos.pt/quintas-para-casamentos/quinta-correia--e106512" TargetMode="External"/><Relationship Id="rId1027" Type="http://schemas.openxmlformats.org/officeDocument/2006/relationships/hyperlink" Target="https://www.casamentos.pt/hotel-casamento/boega-hotel--e108931" TargetMode="External"/><Relationship Id="rId1028" Type="http://schemas.openxmlformats.org/officeDocument/2006/relationships/hyperlink" Target="https://www.casamentos.pt/quintas-para-casamentos/convento-de-cabanas--e175961" TargetMode="External"/><Relationship Id="rId1029" Type="http://schemas.openxmlformats.org/officeDocument/2006/relationships/hyperlink" Target="https://www.casamentos.pt/quintas-para-casamentos/quinta-o-casao--e50572" TargetMode="External"/><Relationship Id="rId437" Type="http://schemas.openxmlformats.org/officeDocument/2006/relationships/hyperlink" Target="https://www.casamentos.pt/quintas-para-casamentos/quinta-de-santo-antonio-do-freixo--e110334" TargetMode="External"/><Relationship Id="rId679" Type="http://schemas.openxmlformats.org/officeDocument/2006/relationships/hyperlink" Target="https://www.casamentos.pt/quintas-para-casamentos/quinta-dos-pavoes--e107187" TargetMode="External"/><Relationship Id="rId436" Type="http://schemas.openxmlformats.org/officeDocument/2006/relationships/hyperlink" Target="https://www.casamentos.pt/quintas-para-casamentos/iguarias-do-tempo--e48219" TargetMode="External"/><Relationship Id="rId678" Type="http://schemas.openxmlformats.org/officeDocument/2006/relationships/hyperlink" Target="https://www.casamentos.pt/quintas-para-casamentos/quinta-da-pureza--e106613" TargetMode="External"/><Relationship Id="rId435" Type="http://schemas.openxmlformats.org/officeDocument/2006/relationships/hyperlink" Target="https://www.casamentos.pt/quintas-para-casamentos/quinta-dos-loridos-buddha-eden--e139885" TargetMode="External"/><Relationship Id="rId677" Type="http://schemas.openxmlformats.org/officeDocument/2006/relationships/hyperlink" Target="https://www.casamentos.pt/quintas-para-casamentos/gaviao-nature-village--e154753" TargetMode="External"/><Relationship Id="rId434" Type="http://schemas.openxmlformats.org/officeDocument/2006/relationships/hyperlink" Target="https://www.casamentos.pt/hotel-casamento/lisotel--e113336" TargetMode="External"/><Relationship Id="rId676" Type="http://schemas.openxmlformats.org/officeDocument/2006/relationships/hyperlink" Target="https://www.casamentos.pt/hotel-casamento/hotel-sao-joao-de-deus--e66587" TargetMode="External"/><Relationship Id="rId439" Type="http://schemas.openxmlformats.org/officeDocument/2006/relationships/hyperlink" Target="https://www.casamentos.pt/quintas-para-casamentos/quinta-dos-lagos-grupo-quinta-dos-lagos--e104421" TargetMode="External"/><Relationship Id="rId438" Type="http://schemas.openxmlformats.org/officeDocument/2006/relationships/hyperlink" Target="https://www.casamentos.pt/hotel-casamento/evolutee-hotel-royal-obidos--e113475" TargetMode="External"/><Relationship Id="rId671" Type="http://schemas.openxmlformats.org/officeDocument/2006/relationships/hyperlink" Target="https://www.casamentos.pt/quintas-para-casamentos/quinta-de-santo-antonio--e76945" TargetMode="External"/><Relationship Id="rId670" Type="http://schemas.openxmlformats.org/officeDocument/2006/relationships/hyperlink" Target="https://www.casamentos.pt/quintas-para-casamentos/quinta-das-argamassas--e110723" TargetMode="External"/><Relationship Id="rId1020" Type="http://schemas.openxmlformats.org/officeDocument/2006/relationships/hyperlink" Target="https://www.casamentos.pt/quintas-para-casamentos/espaco-caiado--e124223" TargetMode="External"/><Relationship Id="rId1021" Type="http://schemas.openxmlformats.org/officeDocument/2006/relationships/hyperlink" Target="https://www.casamentos.pt/quintas-para-casamentos/acordeon--e51030" TargetMode="External"/><Relationship Id="rId433" Type="http://schemas.openxmlformats.org/officeDocument/2006/relationships/hyperlink" Target="https://www.casamentos.pt/quintas-para-casamentos/challet-fonte-nova--e97294" TargetMode="External"/><Relationship Id="rId675" Type="http://schemas.openxmlformats.org/officeDocument/2006/relationships/hyperlink" Target="https://www.casamentos.pt/quintas-para-casamentos/casa-da-urra--e133941" TargetMode="External"/><Relationship Id="rId1022" Type="http://schemas.openxmlformats.org/officeDocument/2006/relationships/hyperlink" Target="https://www.casamentos.pt/quintas-para-casamentos/pezinhos-no-tejo--e114795" TargetMode="External"/><Relationship Id="rId432" Type="http://schemas.openxmlformats.org/officeDocument/2006/relationships/hyperlink" Target="https://www.casamentos.pt/hotel-casamento/miramar-hotels--e51672" TargetMode="External"/><Relationship Id="rId674" Type="http://schemas.openxmlformats.org/officeDocument/2006/relationships/hyperlink" Target="https://www.casamentos.pt/quintas-para-casamentos/quinta-dos-lagartos--e109129" TargetMode="External"/><Relationship Id="rId1023" Type="http://schemas.openxmlformats.org/officeDocument/2006/relationships/hyperlink" Target="https://www.casamentos.pt/restaurantes-para-casamentos/casa-do-sol--e135745" TargetMode="External"/><Relationship Id="rId431" Type="http://schemas.openxmlformats.org/officeDocument/2006/relationships/hyperlink" Target="https://www.casamentos.pt/quintas-para-casamentos/restaurante-dom-abade--e104689" TargetMode="External"/><Relationship Id="rId673" Type="http://schemas.openxmlformats.org/officeDocument/2006/relationships/hyperlink" Target="https://www.casamentos.pt/restaurantes-para-casamentos/montes-de-argila--e170603" TargetMode="External"/><Relationship Id="rId1024" Type="http://schemas.openxmlformats.org/officeDocument/2006/relationships/hyperlink" Target="https://www.casamentos.pt/quintas-para-casamentos/monte-da-casa-do-joao--e158455" TargetMode="External"/><Relationship Id="rId430" Type="http://schemas.openxmlformats.org/officeDocument/2006/relationships/hyperlink" Target="https://www.casamentos.pt/quintas-para-casamentos/quinta-julia-dos-ovos--e133131" TargetMode="External"/><Relationship Id="rId672" Type="http://schemas.openxmlformats.org/officeDocument/2006/relationships/hyperlink" Target="https://www.casamentos.pt/quintas-para-casamentos/sorraia-hotel-rural--e167853" TargetMode="External"/><Relationship Id="rId1025" Type="http://schemas.openxmlformats.org/officeDocument/2006/relationships/hyperlink" Target="https://www.casamentos.pt/quintas-para-casamentos/sirius-park--e163963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4.25"/>
    <col customWidth="1" min="3" max="6" width="7.63"/>
    <col customWidth="1" min="7" max="7" width="15.88"/>
    <col customWidth="1" min="8" max="8" width="7.63"/>
    <col customWidth="1" min="9" max="9" width="14.75"/>
    <col customWidth="1" min="10" max="19" width="7.63"/>
  </cols>
  <sheetData>
    <row r="3">
      <c r="A3" s="1" t="s">
        <v>0</v>
      </c>
    </row>
    <row r="4">
      <c r="A4" s="2" t="s">
        <v>1</v>
      </c>
      <c r="B4" s="3">
        <v>50000.0</v>
      </c>
      <c r="E4" s="2"/>
      <c r="H4" s="4" t="s">
        <v>2</v>
      </c>
      <c r="I4" s="5"/>
    </row>
    <row r="5">
      <c r="A5" s="2" t="s">
        <v>3</v>
      </c>
      <c r="B5" s="6">
        <v>100.0</v>
      </c>
      <c r="E5" s="7"/>
      <c r="H5" s="8" t="s">
        <v>3</v>
      </c>
      <c r="I5" s="9">
        <v>500.0</v>
      </c>
    </row>
    <row r="6">
      <c r="A6" s="7" t="s">
        <v>4</v>
      </c>
      <c r="B6" s="6" t="s">
        <v>5</v>
      </c>
      <c r="E6" s="2"/>
      <c r="H6" s="9" t="s">
        <v>6</v>
      </c>
      <c r="I6" s="9" t="s">
        <v>7</v>
      </c>
    </row>
    <row r="7">
      <c r="A7" s="7" t="s">
        <v>8</v>
      </c>
      <c r="B7" s="7"/>
      <c r="E7" s="2"/>
      <c r="H7" s="9" t="s">
        <v>9</v>
      </c>
      <c r="I7" s="9" t="s">
        <v>10</v>
      </c>
    </row>
    <row r="8">
      <c r="A8" s="9" t="s">
        <v>6</v>
      </c>
      <c r="H8" s="10" t="s">
        <v>4</v>
      </c>
      <c r="I8" s="9" t="s">
        <v>11</v>
      </c>
    </row>
    <row r="9">
      <c r="A9" s="2"/>
      <c r="H9" s="10" t="s">
        <v>8</v>
      </c>
      <c r="I9" s="10"/>
    </row>
    <row r="10">
      <c r="A10" s="2"/>
      <c r="H10" s="5"/>
      <c r="I10" s="5"/>
    </row>
    <row r="11">
      <c r="A11" s="2"/>
      <c r="H11" s="9" t="s">
        <v>12</v>
      </c>
      <c r="I11" s="11">
        <f>'Parâmetros'!K23</f>
        <v>134400</v>
      </c>
    </row>
    <row r="12">
      <c r="H12" s="9" t="s">
        <v>13</v>
      </c>
      <c r="I12" s="5"/>
    </row>
    <row r="14">
      <c r="A14" s="12"/>
      <c r="K14" s="12"/>
    </row>
    <row r="15">
      <c r="A15" s="2"/>
      <c r="K15" s="2"/>
    </row>
    <row r="16">
      <c r="A16" s="2"/>
      <c r="K16" s="2"/>
    </row>
    <row r="17">
      <c r="A17" s="7"/>
      <c r="B17" s="2"/>
    </row>
    <row r="18">
      <c r="C18" s="2"/>
      <c r="D18" s="2"/>
    </row>
    <row r="19">
      <c r="A19" s="2"/>
      <c r="C19" s="13"/>
      <c r="D19" s="13"/>
    </row>
    <row r="20">
      <c r="A20" s="12"/>
      <c r="C20" s="13"/>
      <c r="D20" s="13"/>
    </row>
    <row r="21">
      <c r="C21" s="13"/>
      <c r="D21" s="13"/>
    </row>
    <row r="22">
      <c r="C22" s="13"/>
      <c r="D22" s="13"/>
    </row>
    <row r="23">
      <c r="C23" s="13"/>
      <c r="D23" s="13"/>
    </row>
    <row r="24">
      <c r="C24" s="13"/>
      <c r="D24" s="13"/>
    </row>
    <row r="25">
      <c r="C25" s="13"/>
      <c r="D25" s="13"/>
    </row>
    <row r="26">
      <c r="C26" s="13"/>
      <c r="D26" s="13"/>
    </row>
    <row r="27">
      <c r="C27" s="13"/>
      <c r="D27" s="13"/>
    </row>
    <row r="28">
      <c r="C28" s="13"/>
      <c r="D28" s="13"/>
    </row>
    <row r="29">
      <c r="C29" s="13"/>
      <c r="D29" s="13"/>
    </row>
    <row r="30">
      <c r="C30" s="13"/>
      <c r="D30" s="13"/>
    </row>
    <row r="31">
      <c r="C31" s="2"/>
      <c r="D31" s="2"/>
    </row>
    <row r="32">
      <c r="C32" s="13"/>
      <c r="D32" s="13"/>
    </row>
    <row r="33"/>
    <row r="34"/>
    <row r="35"/>
    <row r="36">
      <c r="I36" s="13"/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mergeCells count="1">
    <mergeCell ref="A3:D3"/>
  </mergeCells>
  <dataValidations>
    <dataValidation type="list" allowBlank="1" showErrorMessage="1" sqref="I6">
      <formula1>"Registo Civil - Cartório,Registo Civil - Externo,Igreja"</formula1>
    </dataValidation>
    <dataValidation type="list" allowBlank="1" showErrorMessage="1" sqref="I7">
      <formula1>"Smart,Select,Premium,Platinum"</formula1>
    </dataValidation>
    <dataValidation type="list" allowBlank="1" showErrorMessage="1" sqref="B7 I9">
      <formula1>"Primavera,Verão,Outono,Inverno"</formula1>
    </dataValidation>
    <dataValidation type="list" allowBlank="1" showErrorMessage="1" sqref="B6 I8">
      <formula1>"Aveiro,Açores,Beja,Braga,Bragança,Castelo Branco,Coimbra,Évora,Faro,Guarda,Leiria,Lisboa,Madeira,Portalegre,Porto,Santarém,Setúbal,Viana do Castelo,Vila Real,Viseu"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7" width="7.63"/>
    <col customWidth="1" min="8" max="8" width="6.5"/>
    <col customWidth="1" min="9" max="13" width="7.63"/>
  </cols>
  <sheetData>
    <row r="1">
      <c r="A1" s="14" t="s">
        <v>14</v>
      </c>
      <c r="B1" s="14" t="s">
        <v>4</v>
      </c>
      <c r="C1" s="14" t="s">
        <v>9</v>
      </c>
      <c r="D1" s="15" t="s">
        <v>15</v>
      </c>
      <c r="E1" s="14" t="s">
        <v>16</v>
      </c>
    </row>
    <row r="2">
      <c r="A2" s="16" t="s">
        <v>17</v>
      </c>
      <c r="B2" s="16" t="s">
        <v>5</v>
      </c>
      <c r="C2" s="14" t="s">
        <v>18</v>
      </c>
      <c r="D2" s="17">
        <f>AVERAGE('Espaços'!E3:E7)</f>
        <v>32</v>
      </c>
      <c r="E2" s="6" t="s">
        <v>19</v>
      </c>
      <c r="H2" s="18" t="s">
        <v>2</v>
      </c>
    </row>
    <row r="3">
      <c r="A3" s="16" t="s">
        <v>17</v>
      </c>
      <c r="B3" s="16" t="s">
        <v>5</v>
      </c>
      <c r="C3" s="14" t="s">
        <v>20</v>
      </c>
      <c r="D3" s="17">
        <f>AVERAGE('Espaços'!E8:E32)</f>
        <v>52.76</v>
      </c>
      <c r="E3" s="6" t="s">
        <v>19</v>
      </c>
      <c r="H3" s="14" t="s">
        <v>14</v>
      </c>
      <c r="I3" s="14" t="s">
        <v>21</v>
      </c>
      <c r="J3" s="14" t="s">
        <v>22</v>
      </c>
      <c r="K3" s="14" t="s">
        <v>23</v>
      </c>
    </row>
    <row r="4">
      <c r="A4" s="16" t="s">
        <v>17</v>
      </c>
      <c r="B4" s="16" t="s">
        <v>5</v>
      </c>
      <c r="C4" s="14" t="s">
        <v>24</v>
      </c>
      <c r="D4" s="17">
        <f>AVERAGE('Espaços'!E33:E59)</f>
        <v>87.83333333</v>
      </c>
      <c r="E4" s="6" t="s">
        <v>19</v>
      </c>
      <c r="H4" s="14" t="s">
        <v>17</v>
      </c>
      <c r="I4" s="19">
        <f>Entrada!I5</f>
        <v>500</v>
      </c>
      <c r="J4" s="14">
        <f>IFERROR(__xludf.DUMMYFUNCTION("INDEX(VALUE(SUBSTITUTE(FILTER('Parâmetros'!$D$2:D1041, 'Parâmetros'!$A$2:A1041=""Espaços"", 'Parâmetros'!$B$2:B1041=Entrada!$I$8, 'Parâmetros'!$C$2:C1041=Entrada!$I$7),
    "" €"","""")),
  1)"),151.0)</f>
        <v>151</v>
      </c>
      <c r="K4" s="20">
        <f t="shared" ref="K4:K13" si="1">I4*J4</f>
        <v>75500</v>
      </c>
    </row>
    <row r="5">
      <c r="A5" s="16" t="s">
        <v>17</v>
      </c>
      <c r="B5" s="16" t="s">
        <v>5</v>
      </c>
      <c r="C5" s="14" t="s">
        <v>10</v>
      </c>
      <c r="D5" s="17">
        <f>AVERAGE('Espaços'!E60:E65)</f>
        <v>162.5</v>
      </c>
      <c r="E5" s="6" t="s">
        <v>19</v>
      </c>
      <c r="H5" s="14" t="s">
        <v>25</v>
      </c>
      <c r="I5" s="19" t="s">
        <v>26</v>
      </c>
      <c r="J5" s="14">
        <f>IFERROR(__xludf.DUMMYFUNCTION("INDEX(VALUE(SUBSTITUTE(FILTER('Parâmetros'!$D$2:D1041, 'Parâmetros'!$A$2:A1041=""Fotografia"", 'Parâmetros'!$B$2:B1041=Entrada!$I$8, 'Parâmetros'!$C$2:C1041=Entrada!$I$7),
    "" €"","""")),
  1)"),4500.0)</f>
        <v>4500</v>
      </c>
      <c r="K5" s="20">
        <f t="shared" si="1"/>
        <v>4500</v>
      </c>
    </row>
    <row r="6">
      <c r="A6" s="16" t="s">
        <v>17</v>
      </c>
      <c r="B6" s="16" t="s">
        <v>27</v>
      </c>
      <c r="C6" s="14" t="s">
        <v>18</v>
      </c>
      <c r="D6" s="17">
        <v>28.58</v>
      </c>
      <c r="E6" s="6" t="s">
        <v>19</v>
      </c>
      <c r="H6" s="14" t="s">
        <v>28</v>
      </c>
      <c r="I6" s="21">
        <v>1.0</v>
      </c>
      <c r="J6" s="14">
        <f>IFERROR(__xludf.DUMMYFUNCTION("INDEX(VALUE(SUBSTITUTE(FILTER('Parâmetros'!$D$2:D1041, 'Parâmetros'!$A$2:A1041=""Vídeo"", 'Parâmetros'!$B$2:B1041=Entrada!$I$8, 'Parâmetros'!$C$2:C1041=Entrada!$I$7),
    "" €"","""")),
  1)"),5000.0)</f>
        <v>5000</v>
      </c>
      <c r="K6" s="20">
        <f t="shared" si="1"/>
        <v>5000</v>
      </c>
    </row>
    <row r="7">
      <c r="A7" s="16" t="s">
        <v>17</v>
      </c>
      <c r="B7" s="16" t="s">
        <v>27</v>
      </c>
      <c r="C7" s="14" t="s">
        <v>20</v>
      </c>
      <c r="D7" s="17">
        <v>57.93</v>
      </c>
      <c r="E7" s="6" t="s">
        <v>19</v>
      </c>
      <c r="H7" s="14" t="s">
        <v>29</v>
      </c>
      <c r="I7" s="19" t="s">
        <v>26</v>
      </c>
      <c r="J7" s="14">
        <f>IFERROR(__xludf.DUMMYFUNCTION("INDEX(VALUE(SUBSTITUTE(FILTER('Parâmetros'!$D$2:D1041, 'Parâmetros'!$A$2:A1041=""Música &amp; Animação"", 'Parâmetros'!$B$2:B1041=Entrada!$I$8, 'Parâmetros'!$C$2:C1041=Entrada!$I$7),
    "" €"","""")),
  1)"),3500.0)</f>
        <v>3500</v>
      </c>
      <c r="K7" s="20">
        <f t="shared" si="1"/>
        <v>3500</v>
      </c>
    </row>
    <row r="8">
      <c r="A8" s="16" t="s">
        <v>17</v>
      </c>
      <c r="B8" s="16" t="s">
        <v>27</v>
      </c>
      <c r="C8" s="14" t="s">
        <v>24</v>
      </c>
      <c r="D8" s="17">
        <v>85.56</v>
      </c>
      <c r="E8" s="6" t="s">
        <v>19</v>
      </c>
      <c r="H8" s="14" t="s">
        <v>30</v>
      </c>
      <c r="I8" s="19" t="s">
        <v>26</v>
      </c>
      <c r="J8" s="14">
        <f>IFERROR(__xludf.DUMMYFUNCTION("INDEX(VALUE(SUBSTITUTE(FILTER('Parâmetros'!$D$2:D1041, 'Parâmetros'!$A$2:A1041=""Decoração &amp; Flores"", 'Parâmetros'!$B$2:B1041=Entrada!$I$8, 'Parâmetros'!$C$2:C1041=Entrada!$I$7),
    "" €"","""")),
  1)"),8000.0)</f>
        <v>8000</v>
      </c>
      <c r="K8" s="20">
        <f t="shared" si="1"/>
        <v>8000</v>
      </c>
    </row>
    <row r="9">
      <c r="A9" s="16" t="s">
        <v>17</v>
      </c>
      <c r="B9" s="16" t="s">
        <v>27</v>
      </c>
      <c r="C9" s="14" t="s">
        <v>10</v>
      </c>
      <c r="D9" s="17">
        <v>150.89</v>
      </c>
      <c r="E9" s="6" t="s">
        <v>19</v>
      </c>
      <c r="H9" s="14" t="s">
        <v>31</v>
      </c>
      <c r="I9" s="19" t="s">
        <v>26</v>
      </c>
      <c r="J9" s="14">
        <f>IFERROR(__xludf.DUMMYFUNCTION("INDEX(VALUE(SUBSTITUTE(FILTER('Parâmetros'!$D$2:D1041, 'Parâmetros'!$A$2:A1041=""Noiva"", 'Parâmetros'!$B$2:B1041=Entrada!$I$8, 'Parâmetros'!$C$2:C1041=Entrada!$I$7),
    "" €"","""")),
  1)"),3500.0)</f>
        <v>3500</v>
      </c>
      <c r="K9" s="20">
        <f t="shared" si="1"/>
        <v>3500</v>
      </c>
    </row>
    <row r="10">
      <c r="A10" s="16" t="s">
        <v>17</v>
      </c>
      <c r="B10" s="16" t="s">
        <v>32</v>
      </c>
      <c r="C10" s="14" t="s">
        <v>18</v>
      </c>
      <c r="D10" s="17">
        <f>AVERAGE('Espaços'!E69:E70)</f>
        <v>25.5</v>
      </c>
      <c r="E10" s="6" t="s">
        <v>19</v>
      </c>
      <c r="H10" s="14" t="s">
        <v>33</v>
      </c>
      <c r="I10" s="19" t="s">
        <v>26</v>
      </c>
      <c r="J10" s="14">
        <f>IFERROR(__xludf.DUMMYFUNCTION("INDEX(VALUE(SUBSTITUTE(FILTER('Parâmetros'!$D$2:D1041, 'Parâmetros'!$A$2:A1041=""Noivo"", 'Parâmetros'!$B$2:B1041=Entrada!$I$8, 'Parâmetros'!$C$2:C1041=Entrada!$I$7),
    "" €"","""")),
  1)"),3000.0)</f>
        <v>3000</v>
      </c>
      <c r="K10" s="20">
        <f t="shared" si="1"/>
        <v>3000</v>
      </c>
    </row>
    <row r="11">
      <c r="A11" s="16" t="s">
        <v>17</v>
      </c>
      <c r="B11" s="16" t="s">
        <v>32</v>
      </c>
      <c r="C11" s="14" t="s">
        <v>20</v>
      </c>
      <c r="D11" s="17">
        <f>AVERAGE('Espaços'!E71:E106)</f>
        <v>56.05555556</v>
      </c>
      <c r="E11" s="6" t="s">
        <v>19</v>
      </c>
      <c r="H11" s="14" t="s">
        <v>34</v>
      </c>
      <c r="I11" s="19">
        <f>Entrada!I5</f>
        <v>500</v>
      </c>
      <c r="J11" s="14">
        <f>IFERROR(__xludf.DUMMYFUNCTION("INDEX(VALUE(SUBSTITUTE(FILTER('Parâmetros'!$D$2:D1041, 'Parâmetros'!$A$2:A1041=""Convites"", 'Parâmetros'!$B$2:B1041=Entrada!$I$8, 'Parâmetros'!$C$2:C1041=Entrada!$I$7),
    "" €"","""")),
  1)"),40.0)</f>
        <v>40</v>
      </c>
      <c r="K11" s="20">
        <f t="shared" si="1"/>
        <v>20000</v>
      </c>
    </row>
    <row r="12">
      <c r="A12" s="16" t="s">
        <v>17</v>
      </c>
      <c r="B12" s="16" t="s">
        <v>32</v>
      </c>
      <c r="C12" s="14" t="s">
        <v>24</v>
      </c>
      <c r="D12" s="17">
        <f>AVERAGE('Espaços'!E107:E157)</f>
        <v>86.23529412</v>
      </c>
      <c r="E12" s="6" t="s">
        <v>19</v>
      </c>
      <c r="H12" s="14" t="s">
        <v>35</v>
      </c>
      <c r="I12" s="19">
        <f>Entrada!I5</f>
        <v>500</v>
      </c>
      <c r="J12" s="14">
        <f>IFERROR(__xludf.DUMMYFUNCTION("INDEX(VALUE(SUBSTITUTE(FILTER('Parâmetros'!$D$2:D1041, 'Parâmetros'!$A$2:A1041=""Lembranças"", 'Parâmetros'!$B$2:B1041=Entrada!$I$8, 'Parâmetros'!$C$2:C1041=Entrada!$I$7),
    "" €"","""")),
  1)"),20.0)</f>
        <v>20</v>
      </c>
      <c r="K12" s="20">
        <f t="shared" si="1"/>
        <v>10000</v>
      </c>
    </row>
    <row r="13">
      <c r="A13" s="16" t="s">
        <v>17</v>
      </c>
      <c r="B13" s="16" t="s">
        <v>32</v>
      </c>
      <c r="C13" s="14" t="s">
        <v>10</v>
      </c>
      <c r="D13" s="17">
        <f>AVERAGE('Espaços'!E158:E170)</f>
        <v>188.7692308</v>
      </c>
      <c r="E13" s="6" t="s">
        <v>19</v>
      </c>
      <c r="H13" s="14" t="s">
        <v>36</v>
      </c>
      <c r="I13" s="21">
        <v>1.0</v>
      </c>
      <c r="J13" s="14">
        <f>IFERROR(__xludf.DUMMYFUNCTION("INDEX(VALUE(SUBSTITUTE(FILTER('Parâmetros'!$D$2:D1041, 'Parâmetros'!$A$2:A1041=""Transporte"", 'Parâmetros'!$B$2:B1041=Entrada!$I$8, 'Parâmetros'!$C$2:C1041=Entrada!$I$7),
    "" €"","""")),
  1)"),1200.0)</f>
        <v>1200</v>
      </c>
      <c r="K13" s="20">
        <f t="shared" si="1"/>
        <v>1200</v>
      </c>
    </row>
    <row r="14">
      <c r="A14" s="16" t="s">
        <v>17</v>
      </c>
      <c r="B14" s="16" t="s">
        <v>37</v>
      </c>
      <c r="C14" s="14" t="s">
        <v>18</v>
      </c>
      <c r="D14" s="17">
        <v>28.58</v>
      </c>
      <c r="E14" s="6" t="s">
        <v>19</v>
      </c>
    </row>
    <row r="15">
      <c r="A15" s="16" t="s">
        <v>17</v>
      </c>
      <c r="B15" s="16" t="s">
        <v>37</v>
      </c>
      <c r="C15" s="14" t="s">
        <v>20</v>
      </c>
      <c r="D15" s="17">
        <f>AVERAGE('Espaços'!E172:E174)</f>
        <v>70</v>
      </c>
      <c r="E15" s="6" t="s">
        <v>19</v>
      </c>
      <c r="H15" s="6" t="s">
        <v>38</v>
      </c>
      <c r="K15" s="20">
        <f>SUM(K4:K13)</f>
        <v>134200</v>
      </c>
    </row>
    <row r="16">
      <c r="A16" s="16" t="s">
        <v>17</v>
      </c>
      <c r="B16" s="16" t="s">
        <v>37</v>
      </c>
      <c r="C16" s="14" t="s">
        <v>24</v>
      </c>
      <c r="D16" s="17">
        <f>AVERAGE('Espaços'!E175:E183)</f>
        <v>95.44444444</v>
      </c>
      <c r="E16" s="6" t="s">
        <v>19</v>
      </c>
    </row>
    <row r="17">
      <c r="A17" s="16" t="s">
        <v>17</v>
      </c>
      <c r="B17" s="16" t="s">
        <v>37</v>
      </c>
      <c r="C17" s="14" t="s">
        <v>10</v>
      </c>
      <c r="D17" s="17">
        <v>150.89</v>
      </c>
      <c r="E17" s="6" t="s">
        <v>19</v>
      </c>
      <c r="H17" s="6" t="s">
        <v>39</v>
      </c>
      <c r="I17" s="19" t="s">
        <v>26</v>
      </c>
      <c r="J17" s="14">
        <f>IFERROR(__xludf.DUMMYFUNCTION("INDEX(VALUE(SUBSTITUTE(FILTER('Parâmetros'!$D$2:D1041, 'Parâmetros'!$A$2:A1041=""Registo Civil - Cartório"", 'Parâmetros'!$B$2:B1041=Entrada!$I$8, 'Parâmetros'!$C$2:C1041=Entrada!$I$7),
    "" €"","""")),
  1)"),120.0)</f>
        <v>120</v>
      </c>
      <c r="K17" s="20">
        <f t="shared" ref="K17:K19" si="2">I17*J17</f>
        <v>120</v>
      </c>
    </row>
    <row r="18">
      <c r="A18" s="16" t="s">
        <v>17</v>
      </c>
      <c r="B18" s="16" t="s">
        <v>40</v>
      </c>
      <c r="C18" s="14" t="s">
        <v>18</v>
      </c>
      <c r="D18" s="17">
        <f>AVERAGE('Espaços'!E186:E187)</f>
        <v>26.5</v>
      </c>
      <c r="E18" s="6" t="s">
        <v>19</v>
      </c>
      <c r="H18" s="6" t="s">
        <v>7</v>
      </c>
      <c r="I18" s="19" t="s">
        <v>26</v>
      </c>
      <c r="J18" s="14">
        <f>IFERROR(__xludf.DUMMYFUNCTION("INDEX(VALUE(SUBSTITUTE(FILTER('Parâmetros'!$D$2:D1041, 'Parâmetros'!$A$2:A1041=""Registo Civil - Externo"", 'Parâmetros'!$B$2:B1041=Entrada!$I$8, 'Parâmetros'!$C$2:C1041=Entrada!$I$7),
    "" €"","""")),
  1)"),200.0)</f>
        <v>200</v>
      </c>
      <c r="K18" s="20">
        <f t="shared" si="2"/>
        <v>200</v>
      </c>
    </row>
    <row r="19">
      <c r="A19" s="16" t="s">
        <v>17</v>
      </c>
      <c r="B19" s="16" t="s">
        <v>40</v>
      </c>
      <c r="C19" s="14" t="s">
        <v>20</v>
      </c>
      <c r="D19" s="17">
        <f>AVERAGE('Espaços'!E188:E199)</f>
        <v>52.08333333</v>
      </c>
      <c r="E19" s="6" t="s">
        <v>19</v>
      </c>
      <c r="H19" s="14" t="s">
        <v>41</v>
      </c>
      <c r="I19" s="21">
        <v>1.0</v>
      </c>
      <c r="J19" s="14">
        <f>IFERROR(__xludf.DUMMYFUNCTION("INDEX(VALUE(SUBSTITUTE(FILTER('Parâmetros'!$D$2:D1041, 'Parâmetros'!$A$2:A1041=""Igreja"", 'Parâmetros'!$B$2:B1041=Entrada!$I$8, 'Parâmetros'!$C$2:C1041=Entrada!$I$7),
    "" €"","""")),
  1)"),200.0)</f>
        <v>200</v>
      </c>
      <c r="K19" s="20">
        <f t="shared" si="2"/>
        <v>200</v>
      </c>
    </row>
    <row r="20">
      <c r="A20" s="16" t="s">
        <v>17</v>
      </c>
      <c r="B20" s="16" t="s">
        <v>40</v>
      </c>
      <c r="C20" s="14" t="s">
        <v>24</v>
      </c>
      <c r="D20" s="17">
        <f>AVERAGE('Espaços'!E200:E212)</f>
        <v>82.11538462</v>
      </c>
      <c r="E20" s="6" t="s">
        <v>19</v>
      </c>
    </row>
    <row r="21">
      <c r="A21" s="16" t="s">
        <v>17</v>
      </c>
      <c r="B21" s="16" t="s">
        <v>40</v>
      </c>
      <c r="C21" s="14" t="s">
        <v>10</v>
      </c>
      <c r="D21" s="17">
        <v>150.89</v>
      </c>
      <c r="E21" s="6" t="s">
        <v>19</v>
      </c>
      <c r="H21" s="6" t="s">
        <v>38</v>
      </c>
      <c r="K21" s="20">
        <f>SWITCH(TRIM(Entrada!$I$6),"Registo Civil - Externo",SUMIF($H$17:$H$19, "Registo Civil - Externo", $K$17:$K$19),"Igreja",SUMIF($H$17:$H$19, "Registo Civil - Cartório", $K$17:$K$19)+SUMIF($H$17:$H$19, "Igreja", $K$17:$K$19),"Registo Civil - Cartório",SUMIF($H$17:$H$19, "Registo Civil - Cartório", $K$17:$K$19), 0)</f>
        <v>200</v>
      </c>
    </row>
    <row r="22">
      <c r="A22" s="16" t="s">
        <v>17</v>
      </c>
      <c r="B22" s="16" t="s">
        <v>42</v>
      </c>
      <c r="C22" s="14" t="s">
        <v>18</v>
      </c>
      <c r="D22" s="17">
        <f>AVERAGE('Espaços'!E213:E219)</f>
        <v>28.5</v>
      </c>
      <c r="E22" s="6" t="s">
        <v>19</v>
      </c>
    </row>
    <row r="23">
      <c r="A23" s="16" t="s">
        <v>17</v>
      </c>
      <c r="B23" s="16" t="s">
        <v>42</v>
      </c>
      <c r="C23" s="14" t="s">
        <v>20</v>
      </c>
      <c r="D23" s="17">
        <f>AVERAGE('Espaços'!E220:E241)</f>
        <v>54.90454545</v>
      </c>
      <c r="E23" s="6" t="s">
        <v>19</v>
      </c>
      <c r="H23" s="22" t="s">
        <v>12</v>
      </c>
      <c r="I23" s="23"/>
      <c r="J23" s="23"/>
      <c r="K23" s="24">
        <f>SUM(K15,K21)</f>
        <v>134400</v>
      </c>
    </row>
    <row r="24">
      <c r="A24" s="16" t="s">
        <v>17</v>
      </c>
      <c r="B24" s="16" t="s">
        <v>42</v>
      </c>
      <c r="C24" s="14" t="s">
        <v>24</v>
      </c>
      <c r="D24" s="17">
        <f>AVERAGE('Espaços'!E242:E253)</f>
        <v>83.08333333</v>
      </c>
      <c r="E24" s="6" t="s">
        <v>19</v>
      </c>
    </row>
    <row r="25">
      <c r="A25" s="16" t="s">
        <v>17</v>
      </c>
      <c r="B25" s="16" t="s">
        <v>42</v>
      </c>
      <c r="C25" s="14" t="s">
        <v>10</v>
      </c>
      <c r="D25" s="17">
        <f>AVERAGE('Espaços'!E254:E257)</f>
        <v>120</v>
      </c>
      <c r="E25" s="6" t="s">
        <v>19</v>
      </c>
      <c r="H25" s="2"/>
      <c r="J25" s="6"/>
    </row>
    <row r="26">
      <c r="A26" s="16" t="s">
        <v>17</v>
      </c>
      <c r="B26" s="16" t="s">
        <v>43</v>
      </c>
      <c r="C26" s="14" t="s">
        <v>18</v>
      </c>
      <c r="D26" s="17">
        <f>AVERAGE('Espaços'!E258:E261)</f>
        <v>24.75</v>
      </c>
      <c r="E26" s="6" t="s">
        <v>19</v>
      </c>
    </row>
    <row r="27">
      <c r="A27" s="16" t="s">
        <v>17</v>
      </c>
      <c r="B27" s="16" t="s">
        <v>43</v>
      </c>
      <c r="C27" s="14" t="s">
        <v>20</v>
      </c>
      <c r="D27" s="17">
        <f>AVERAGE('Espaços'!E262:E269)</f>
        <v>62.75</v>
      </c>
      <c r="E27" s="6" t="s">
        <v>19</v>
      </c>
    </row>
    <row r="28">
      <c r="A28" s="16" t="s">
        <v>17</v>
      </c>
      <c r="B28" s="16" t="s">
        <v>43</v>
      </c>
      <c r="C28" s="14" t="s">
        <v>24</v>
      </c>
      <c r="D28" s="17">
        <f>AVERAGE('Espaços'!E270:E280)</f>
        <v>80.72727273</v>
      </c>
      <c r="E28" s="6" t="s">
        <v>19</v>
      </c>
    </row>
    <row r="29">
      <c r="A29" s="16" t="s">
        <v>17</v>
      </c>
      <c r="B29" s="16" t="s">
        <v>43</v>
      </c>
      <c r="C29" s="14" t="s">
        <v>10</v>
      </c>
      <c r="D29" s="17">
        <f>AVERAGE('Espaços'!E281:E283)</f>
        <v>113.6666667</v>
      </c>
      <c r="E29" s="6" t="s">
        <v>19</v>
      </c>
    </row>
    <row r="30">
      <c r="A30" s="16" t="s">
        <v>17</v>
      </c>
      <c r="B30" s="16" t="s">
        <v>44</v>
      </c>
      <c r="C30" s="14" t="s">
        <v>18</v>
      </c>
      <c r="D30" s="17">
        <f>AVERAGE('Espaços'!E284:E290)</f>
        <v>24.71428571</v>
      </c>
      <c r="E30" s="6" t="s">
        <v>19</v>
      </c>
      <c r="H30" s="1" t="s">
        <v>0</v>
      </c>
    </row>
    <row r="31">
      <c r="A31" s="16" t="s">
        <v>17</v>
      </c>
      <c r="B31" s="16" t="s">
        <v>44</v>
      </c>
      <c r="C31" s="14" t="s">
        <v>20</v>
      </c>
      <c r="D31" s="17">
        <f>AVERAGE('Espaços'!E291:E321)</f>
        <v>57.32258065</v>
      </c>
      <c r="E31" s="6" t="s">
        <v>19</v>
      </c>
      <c r="H31" s="2" t="s">
        <v>45</v>
      </c>
    </row>
    <row r="32">
      <c r="A32" s="16" t="s">
        <v>17</v>
      </c>
      <c r="B32" s="16" t="s">
        <v>44</v>
      </c>
      <c r="C32" s="14" t="s">
        <v>24</v>
      </c>
      <c r="D32" s="17">
        <f>AVERAGE('Espaços'!E322:E341)</f>
        <v>88.05</v>
      </c>
      <c r="E32" s="6" t="s">
        <v>19</v>
      </c>
      <c r="H32" s="2" t="s">
        <v>14</v>
      </c>
      <c r="I32" s="2" t="s">
        <v>46</v>
      </c>
      <c r="J32" s="2" t="s">
        <v>47</v>
      </c>
      <c r="K32" s="6" t="s">
        <v>48</v>
      </c>
    </row>
    <row r="33">
      <c r="A33" s="16" t="s">
        <v>17</v>
      </c>
      <c r="B33" s="16" t="s">
        <v>44</v>
      </c>
      <c r="C33" s="14" t="s">
        <v>10</v>
      </c>
      <c r="D33" s="17">
        <f>AVERAGE('Espaços'!E342:E377)</f>
        <v>159.7083333</v>
      </c>
      <c r="E33" s="6" t="s">
        <v>19</v>
      </c>
      <c r="H33" s="14" t="s">
        <v>17</v>
      </c>
      <c r="I33" s="13">
        <v>50.0</v>
      </c>
      <c r="J33" s="25">
        <f>IF(Entrada!$B$4&gt;0, I33*Entrada!$B$4/100, 0)</f>
        <v>25000</v>
      </c>
      <c r="K33" s="3">
        <f>J33/Entrada!B5</f>
        <v>250</v>
      </c>
    </row>
    <row r="34">
      <c r="A34" s="16" t="s">
        <v>17</v>
      </c>
      <c r="B34" s="16" t="s">
        <v>49</v>
      </c>
      <c r="C34" s="14" t="s">
        <v>18</v>
      </c>
      <c r="D34" s="17">
        <v>28.58</v>
      </c>
      <c r="E34" s="6" t="s">
        <v>19</v>
      </c>
      <c r="H34" s="14" t="s">
        <v>25</v>
      </c>
      <c r="I34" s="13">
        <v>8.0</v>
      </c>
      <c r="J34" s="25">
        <f>IF(Entrada!$B$4&gt;0, I34*Entrada!$B$4/100, 0)</f>
        <v>4000</v>
      </c>
      <c r="K34" s="20">
        <f t="shared" ref="K34:K38" si="3">J34</f>
        <v>4000</v>
      </c>
    </row>
    <row r="35">
      <c r="A35" s="16" t="s">
        <v>17</v>
      </c>
      <c r="B35" s="16" t="s">
        <v>49</v>
      </c>
      <c r="C35" s="14" t="s">
        <v>20</v>
      </c>
      <c r="D35" s="17">
        <f>AVERAGE('Espaços'!E378:E387)</f>
        <v>61.5</v>
      </c>
      <c r="E35" s="6" t="s">
        <v>19</v>
      </c>
      <c r="H35" s="14" t="s">
        <v>28</v>
      </c>
      <c r="I35" s="13">
        <v>5.0</v>
      </c>
      <c r="J35" s="25">
        <f>IF(Entrada!$B$4&gt;0, I35*Entrada!$B$4/100, 0)</f>
        <v>2500</v>
      </c>
      <c r="K35" s="20">
        <f t="shared" si="3"/>
        <v>2500</v>
      </c>
    </row>
    <row r="36">
      <c r="A36" s="16" t="s">
        <v>17</v>
      </c>
      <c r="B36" s="16" t="s">
        <v>49</v>
      </c>
      <c r="C36" s="14" t="s">
        <v>24</v>
      </c>
      <c r="D36" s="17">
        <f>AVERAGE('Espaços'!E388:E392)</f>
        <v>85</v>
      </c>
      <c r="E36" s="6" t="s">
        <v>19</v>
      </c>
      <c r="H36" s="14" t="s">
        <v>29</v>
      </c>
      <c r="I36" s="13">
        <v>5.0</v>
      </c>
      <c r="J36" s="25">
        <f>IF(Entrada!$B$4&gt;0, I36*Entrada!$B$4/100, 0)</f>
        <v>2500</v>
      </c>
      <c r="K36" s="20">
        <f t="shared" si="3"/>
        <v>2500</v>
      </c>
    </row>
    <row r="37">
      <c r="A37" s="16" t="s">
        <v>17</v>
      </c>
      <c r="B37" s="16" t="s">
        <v>49</v>
      </c>
      <c r="C37" s="14" t="s">
        <v>10</v>
      </c>
      <c r="D37" s="17">
        <f>AVERAGE('Espaços'!E393:E394)</f>
        <v>115</v>
      </c>
      <c r="E37" s="6" t="s">
        <v>19</v>
      </c>
      <c r="H37" s="14" t="s">
        <v>30</v>
      </c>
      <c r="I37" s="13">
        <v>8.0</v>
      </c>
      <c r="J37" s="25">
        <f>IF(Entrada!$B$4&gt;0, I37*Entrada!$B$4/100, 0)</f>
        <v>4000</v>
      </c>
      <c r="K37" s="20">
        <f t="shared" si="3"/>
        <v>4000</v>
      </c>
    </row>
    <row r="38">
      <c r="A38" s="16" t="s">
        <v>17</v>
      </c>
      <c r="B38" s="16" t="s">
        <v>50</v>
      </c>
      <c r="C38" s="14" t="s">
        <v>18</v>
      </c>
      <c r="D38" s="17">
        <f>AVERAGE('Espaços'!E395:E402)</f>
        <v>26.25</v>
      </c>
      <c r="E38" s="6" t="s">
        <v>19</v>
      </c>
      <c r="H38" s="13" t="s">
        <v>51</v>
      </c>
      <c r="I38" s="26">
        <v>11.0</v>
      </c>
      <c r="J38" s="25">
        <f>IF(Entrada!$B$4&gt;0, I38*Entrada!$B$4/100, 0)</f>
        <v>5500</v>
      </c>
      <c r="K38" s="20">
        <f t="shared" si="3"/>
        <v>5500</v>
      </c>
    </row>
    <row r="39">
      <c r="A39" s="16" t="s">
        <v>17</v>
      </c>
      <c r="B39" s="16" t="s">
        <v>50</v>
      </c>
      <c r="C39" s="14" t="s">
        <v>20</v>
      </c>
      <c r="D39" s="17">
        <f>AVERAGE('Espaços'!E403:E424)</f>
        <v>55.27181818</v>
      </c>
      <c r="E39" s="6" t="s">
        <v>19</v>
      </c>
      <c r="H39" s="14" t="s">
        <v>34</v>
      </c>
      <c r="I39" s="13">
        <v>2.0</v>
      </c>
      <c r="J39" s="25">
        <f>IF(Entrada!$B$4&gt;0, I39*Entrada!$B$4/100, 0)</f>
        <v>1000</v>
      </c>
      <c r="K39" s="20">
        <f>J39/Entrada!B5</f>
        <v>10</v>
      </c>
    </row>
    <row r="40">
      <c r="A40" s="16" t="s">
        <v>17</v>
      </c>
      <c r="B40" s="16" t="s">
        <v>50</v>
      </c>
      <c r="C40" s="14" t="s">
        <v>24</v>
      </c>
      <c r="D40" s="17">
        <f>AVERAGE('Espaços'!E425:E437)</f>
        <v>81.42307692</v>
      </c>
      <c r="E40" s="6" t="s">
        <v>19</v>
      </c>
      <c r="H40" s="14" t="s">
        <v>35</v>
      </c>
      <c r="I40" s="13">
        <v>2.0</v>
      </c>
      <c r="J40" s="25">
        <f>IF(Entrada!$B$4&gt;0, I40*Entrada!$B$4/100, 0)</f>
        <v>1000</v>
      </c>
      <c r="K40" s="20">
        <f>J40/Entrada!B5</f>
        <v>10</v>
      </c>
    </row>
    <row r="41">
      <c r="A41" s="16" t="s">
        <v>17</v>
      </c>
      <c r="B41" s="16" t="s">
        <v>50</v>
      </c>
      <c r="C41" s="14" t="s">
        <v>10</v>
      </c>
      <c r="D41" s="17">
        <f>AVERAGE('Espaços'!E438:E447)</f>
        <v>121.5</v>
      </c>
      <c r="E41" s="6" t="s">
        <v>19</v>
      </c>
      <c r="H41" s="14" t="s">
        <v>36</v>
      </c>
      <c r="I41" s="13">
        <v>2.0</v>
      </c>
      <c r="J41" s="25">
        <f>IF(Entrada!$B$4&gt;0, I41*Entrada!$B$4/100, 0)</f>
        <v>1000</v>
      </c>
      <c r="K41" s="20">
        <f t="shared" ref="K41:K43" si="4">J41</f>
        <v>1000</v>
      </c>
    </row>
    <row r="42">
      <c r="A42" s="16" t="s">
        <v>17</v>
      </c>
      <c r="B42" s="16" t="s">
        <v>11</v>
      </c>
      <c r="C42" s="14" t="s">
        <v>18</v>
      </c>
      <c r="D42" s="17">
        <f>AVERAGE('Espaços'!E448:E475)</f>
        <v>28.67857143</v>
      </c>
      <c r="E42" s="6" t="s">
        <v>19</v>
      </c>
      <c r="H42" s="26" t="s">
        <v>52</v>
      </c>
      <c r="I42" s="26">
        <v>2.0</v>
      </c>
      <c r="J42" s="25">
        <f>IF(Entrada!$B$4&gt;0, I42*Entrada!$B$4/100, 0)</f>
        <v>1000</v>
      </c>
      <c r="K42" s="20">
        <f t="shared" si="4"/>
        <v>1000</v>
      </c>
    </row>
    <row r="43">
      <c r="A43" s="16" t="s">
        <v>17</v>
      </c>
      <c r="B43" s="16" t="s">
        <v>11</v>
      </c>
      <c r="C43" s="14" t="s">
        <v>20</v>
      </c>
      <c r="D43" s="17">
        <f>AVERAGE('Espaços'!E476:E555)</f>
        <v>55.18875</v>
      </c>
      <c r="E43" s="6" t="s">
        <v>19</v>
      </c>
      <c r="H43" s="13" t="s">
        <v>53</v>
      </c>
      <c r="I43" s="13">
        <v>5.0</v>
      </c>
      <c r="J43" s="25">
        <f>IF(Entrada!$B$4&gt;0, I43*Entrada!$B$4/100, 0)</f>
        <v>2500</v>
      </c>
      <c r="K43" s="20">
        <f t="shared" si="4"/>
        <v>2500</v>
      </c>
    </row>
    <row r="44">
      <c r="A44" s="16" t="s">
        <v>17</v>
      </c>
      <c r="B44" s="16" t="s">
        <v>11</v>
      </c>
      <c r="C44" s="14" t="s">
        <v>24</v>
      </c>
      <c r="D44" s="17">
        <f>AVERAGE('Espaços'!E556:E636)</f>
        <v>86.00617284</v>
      </c>
      <c r="E44" s="6" t="s">
        <v>19</v>
      </c>
    </row>
    <row r="45">
      <c r="A45" s="16" t="s">
        <v>17</v>
      </c>
      <c r="B45" s="16" t="s">
        <v>11</v>
      </c>
      <c r="C45" s="14" t="s">
        <v>10</v>
      </c>
      <c r="D45" s="17">
        <f>AVERAGE('Espaços'!E637:E665)</f>
        <v>150.9310345</v>
      </c>
      <c r="E45" s="6" t="s">
        <v>19</v>
      </c>
      <c r="H45" s="13" t="s">
        <v>54</v>
      </c>
      <c r="I45" s="2">
        <f t="shared" ref="I45:J45" si="5">SUM(I33:I43)</f>
        <v>100</v>
      </c>
      <c r="J45" s="27">
        <f t="shared" si="5"/>
        <v>50000</v>
      </c>
    </row>
    <row r="46">
      <c r="A46" s="16" t="s">
        <v>17</v>
      </c>
      <c r="B46" s="16" t="s">
        <v>55</v>
      </c>
      <c r="C46" s="14" t="s">
        <v>18</v>
      </c>
      <c r="D46" s="17">
        <v>28.58</v>
      </c>
      <c r="E46" s="6" t="s">
        <v>19</v>
      </c>
      <c r="H46" s="13" t="s">
        <v>56</v>
      </c>
      <c r="I46" s="13" t="str">
        <f>IF(I45=100, "OK", "Ajustar percentagens para somar 100%")</f>
        <v>OK</v>
      </c>
      <c r="J46" s="14" t="str">
        <f>IFERROR(__xludf.DUMMYFUNCTION("INDEX(FILTER('Parâmetros'!$C$2:$C1041,
         'Parâmetros'!$A$2:$A1041=""Espaços"",
         'Parâmetros'!$B$2:$B1041=Entrada!$B$6),
  MATCH(MIN(ABS(FILTER(VALUE(SUBSTITUTE('Parâmetros'!$D$2:$D1041,"" €"","""")),
               'Parâmetros'!$A$2:$A1041="&amp;"""Espaços"",
               'Parâmetros'!$B$2:$B1041=Entrada!$B$6)-'Parâmetros'!$K$33)),
    ABS(FILTER(VALUE(SUBSTITUTE('Parâmetros'!$D$2:$D1041,"" €"","""")),
             'Parâmetros'!$A$2:$A1041=""Espaços"",
             'Parâmetros'!$B$2:$B1041=Entra"&amp;"da!$B$6)-'Parâmetros'!$K$33),
    0))"),"Platinum")</f>
        <v>Platinum</v>
      </c>
    </row>
    <row r="47">
      <c r="A47" s="16" t="s">
        <v>17</v>
      </c>
      <c r="B47" s="16" t="s">
        <v>55</v>
      </c>
      <c r="C47" s="14" t="s">
        <v>20</v>
      </c>
      <c r="D47" s="17">
        <f>AVERAGE('Espaços'!E667:E675)</f>
        <v>59.21111111</v>
      </c>
      <c r="E47" s="6" t="s">
        <v>19</v>
      </c>
    </row>
    <row r="48">
      <c r="A48" s="16" t="s">
        <v>17</v>
      </c>
      <c r="B48" s="16" t="s">
        <v>55</v>
      </c>
      <c r="C48" s="14" t="s">
        <v>24</v>
      </c>
      <c r="D48" s="17">
        <f>AVERAGE('Espaços'!E676:E681)</f>
        <v>83.16666667</v>
      </c>
      <c r="E48" s="6" t="s">
        <v>19</v>
      </c>
    </row>
    <row r="49">
      <c r="A49" s="16" t="s">
        <v>17</v>
      </c>
      <c r="B49" s="16" t="s">
        <v>55</v>
      </c>
      <c r="C49" s="14" t="s">
        <v>10</v>
      </c>
      <c r="D49" s="17">
        <v>150.89</v>
      </c>
      <c r="E49" s="6" t="s">
        <v>19</v>
      </c>
    </row>
    <row r="50">
      <c r="A50" s="16" t="s">
        <v>17</v>
      </c>
      <c r="B50" s="16" t="s">
        <v>57</v>
      </c>
      <c r="C50" s="14" t="s">
        <v>18</v>
      </c>
      <c r="D50" s="17">
        <f>AVERAGE('Espaços'!E683:E700)</f>
        <v>29.27222222</v>
      </c>
      <c r="E50" s="6" t="s">
        <v>19</v>
      </c>
    </row>
    <row r="51">
      <c r="A51" s="16" t="s">
        <v>17</v>
      </c>
      <c r="B51" s="16" t="s">
        <v>57</v>
      </c>
      <c r="C51" s="14" t="s">
        <v>20</v>
      </c>
      <c r="D51" s="17">
        <f>AVERAGE('Espaços'!E701:E789)</f>
        <v>57.90449438</v>
      </c>
      <c r="E51" s="6" t="s">
        <v>19</v>
      </c>
    </row>
    <row r="52">
      <c r="A52" s="16" t="s">
        <v>17</v>
      </c>
      <c r="B52" s="16" t="s">
        <v>57</v>
      </c>
      <c r="C52" s="14" t="s">
        <v>24</v>
      </c>
      <c r="D52" s="17">
        <f>AVERAGE('Espaços'!E790:E862)</f>
        <v>84.76712329</v>
      </c>
      <c r="E52" s="6" t="s">
        <v>19</v>
      </c>
    </row>
    <row r="53">
      <c r="A53" s="16" t="s">
        <v>17</v>
      </c>
      <c r="B53" s="16" t="s">
        <v>57</v>
      </c>
      <c r="C53" s="14" t="s">
        <v>10</v>
      </c>
      <c r="D53" s="17">
        <f>AVERAGE('Espaços'!E863:E886)</f>
        <v>133</v>
      </c>
      <c r="E53" s="6" t="s">
        <v>19</v>
      </c>
    </row>
    <row r="54">
      <c r="A54" s="16" t="s">
        <v>17</v>
      </c>
      <c r="B54" s="16" t="s">
        <v>58</v>
      </c>
      <c r="C54" s="14" t="s">
        <v>18</v>
      </c>
      <c r="D54" s="17">
        <f>AVERAGE('Espaços'!E887:E894)</f>
        <v>26.875</v>
      </c>
      <c r="E54" s="6" t="s">
        <v>19</v>
      </c>
    </row>
    <row r="55">
      <c r="A55" s="16" t="s">
        <v>17</v>
      </c>
      <c r="B55" s="16" t="s">
        <v>58</v>
      </c>
      <c r="C55" s="14" t="s">
        <v>20</v>
      </c>
      <c r="D55" s="17">
        <f>AVERAGE('Espaços'!E895:E920)</f>
        <v>59.28846154</v>
      </c>
      <c r="E55" s="6" t="s">
        <v>19</v>
      </c>
    </row>
    <row r="56">
      <c r="A56" s="16" t="s">
        <v>17</v>
      </c>
      <c r="B56" s="16" t="s">
        <v>58</v>
      </c>
      <c r="C56" s="14" t="s">
        <v>24</v>
      </c>
      <c r="D56" s="17">
        <f>AVERAGE('Espaços'!E921:E942)</f>
        <v>84</v>
      </c>
      <c r="E56" s="6" t="s">
        <v>19</v>
      </c>
    </row>
    <row r="57">
      <c r="A57" s="16" t="s">
        <v>17</v>
      </c>
      <c r="B57" s="16" t="s">
        <v>58</v>
      </c>
      <c r="C57" s="14" t="s">
        <v>10</v>
      </c>
      <c r="D57" s="17">
        <f>AVERAGE('Espaços'!E943:E944)</f>
        <v>190</v>
      </c>
      <c r="E57" s="6" t="s">
        <v>19</v>
      </c>
    </row>
    <row r="58">
      <c r="A58" s="16" t="s">
        <v>17</v>
      </c>
      <c r="B58" s="16" t="s">
        <v>59</v>
      </c>
      <c r="C58" s="14" t="s">
        <v>18</v>
      </c>
      <c r="D58" s="17">
        <f>AVERAGE('Espaços'!E945:E953)</f>
        <v>31.61111111</v>
      </c>
      <c r="E58" s="6" t="s">
        <v>19</v>
      </c>
    </row>
    <row r="59">
      <c r="A59" s="16" t="s">
        <v>17</v>
      </c>
      <c r="B59" s="16" t="s">
        <v>59</v>
      </c>
      <c r="C59" s="14" t="s">
        <v>20</v>
      </c>
      <c r="D59" s="17">
        <f>AVERAGE('Espaços'!E954:E998)</f>
        <v>58.25555556</v>
      </c>
      <c r="E59" s="6" t="s">
        <v>19</v>
      </c>
    </row>
    <row r="60">
      <c r="A60" s="16" t="s">
        <v>17</v>
      </c>
      <c r="B60" s="16" t="s">
        <v>59</v>
      </c>
      <c r="C60" s="14" t="s">
        <v>24</v>
      </c>
      <c r="D60" s="17">
        <f>AVERAGE('Espaços'!E999:E1025)</f>
        <v>81.40740741</v>
      </c>
      <c r="E60" s="6" t="s">
        <v>19</v>
      </c>
    </row>
    <row r="61">
      <c r="A61" s="16" t="s">
        <v>17</v>
      </c>
      <c r="B61" s="16" t="s">
        <v>59</v>
      </c>
      <c r="C61" s="14" t="s">
        <v>10</v>
      </c>
      <c r="D61" s="17">
        <v>150.89</v>
      </c>
      <c r="E61" s="6" t="s">
        <v>19</v>
      </c>
    </row>
    <row r="62">
      <c r="A62" s="16" t="s">
        <v>17</v>
      </c>
      <c r="B62" s="16" t="s">
        <v>60</v>
      </c>
      <c r="C62" s="14" t="s">
        <v>18</v>
      </c>
      <c r="D62" s="17">
        <v>28.58</v>
      </c>
      <c r="E62" s="6" t="s">
        <v>19</v>
      </c>
    </row>
    <row r="63">
      <c r="A63" s="16" t="s">
        <v>17</v>
      </c>
      <c r="B63" s="16" t="s">
        <v>60</v>
      </c>
      <c r="C63" s="14" t="s">
        <v>20</v>
      </c>
      <c r="D63" s="17">
        <f>AVERAGE('Espaços'!E1029:E1037)</f>
        <v>60.44444444</v>
      </c>
      <c r="E63" s="6" t="s">
        <v>19</v>
      </c>
    </row>
    <row r="64">
      <c r="A64" s="16" t="s">
        <v>17</v>
      </c>
      <c r="B64" s="16" t="s">
        <v>60</v>
      </c>
      <c r="C64" s="14" t="s">
        <v>24</v>
      </c>
      <c r="D64" s="17">
        <f>AVERAGE('Espaços'!E1038:E1055)</f>
        <v>86.88888889</v>
      </c>
      <c r="E64" s="6" t="s">
        <v>19</v>
      </c>
    </row>
    <row r="65">
      <c r="A65" s="16" t="s">
        <v>17</v>
      </c>
      <c r="B65" s="16" t="s">
        <v>60</v>
      </c>
      <c r="C65" s="14" t="s">
        <v>10</v>
      </c>
      <c r="D65" s="17">
        <f>AVERAGE('Espaços'!E1056:E1061)</f>
        <v>134.1666667</v>
      </c>
      <c r="E65" s="6" t="s">
        <v>19</v>
      </c>
    </row>
    <row r="66">
      <c r="A66" s="16" t="s">
        <v>17</v>
      </c>
      <c r="B66" s="16" t="s">
        <v>61</v>
      </c>
      <c r="C66" s="14" t="s">
        <v>18</v>
      </c>
      <c r="D66" s="17">
        <f>AVERAGE('Espaços'!E1062:E1063)</f>
        <v>32</v>
      </c>
      <c r="E66" s="6" t="s">
        <v>19</v>
      </c>
    </row>
    <row r="67">
      <c r="A67" s="16" t="s">
        <v>17</v>
      </c>
      <c r="B67" s="16" t="s">
        <v>61</v>
      </c>
      <c r="C67" s="14" t="s">
        <v>20</v>
      </c>
      <c r="D67" s="17">
        <f>AVERAGE('Espaços'!E1064:E1071)</f>
        <v>62.3625</v>
      </c>
      <c r="E67" s="6" t="s">
        <v>19</v>
      </c>
    </row>
    <row r="68">
      <c r="A68" s="16" t="s">
        <v>17</v>
      </c>
      <c r="B68" s="16" t="s">
        <v>61</v>
      </c>
      <c r="C68" s="14" t="s">
        <v>24</v>
      </c>
      <c r="D68" s="17">
        <f>AVERAGE('Espaços'!E1072:E1081)</f>
        <v>90.4</v>
      </c>
      <c r="E68" s="6" t="s">
        <v>19</v>
      </c>
    </row>
    <row r="69">
      <c r="A69" s="16" t="s">
        <v>17</v>
      </c>
      <c r="B69" s="16" t="s">
        <v>61</v>
      </c>
      <c r="C69" s="14" t="s">
        <v>10</v>
      </c>
      <c r="D69" s="17">
        <f>AVERAGE('Espaços'!E1083:E1089)</f>
        <v>132.1428571</v>
      </c>
      <c r="E69" s="6" t="s">
        <v>19</v>
      </c>
    </row>
    <row r="70">
      <c r="A70" s="16" t="s">
        <v>17</v>
      </c>
      <c r="B70" s="16" t="s">
        <v>62</v>
      </c>
      <c r="C70" s="14" t="s">
        <v>18</v>
      </c>
      <c r="D70" s="17">
        <f>AVERAGE('Espaços'!E1090:E1094)</f>
        <v>30</v>
      </c>
      <c r="E70" s="6" t="s">
        <v>19</v>
      </c>
    </row>
    <row r="71">
      <c r="A71" s="16" t="s">
        <v>17</v>
      </c>
      <c r="B71" s="16" t="s">
        <v>62</v>
      </c>
      <c r="C71" s="14" t="s">
        <v>20</v>
      </c>
      <c r="D71" s="17">
        <f>AVERAGE('Espaços'!E1095:E1117)</f>
        <v>57.39130435</v>
      </c>
      <c r="E71" s="6" t="s">
        <v>19</v>
      </c>
    </row>
    <row r="72">
      <c r="A72" s="16" t="s">
        <v>17</v>
      </c>
      <c r="B72" s="16" t="s">
        <v>62</v>
      </c>
      <c r="C72" s="14" t="s">
        <v>24</v>
      </c>
      <c r="D72" s="17">
        <f>AVERAGE('Espaços'!E1118:E1132)</f>
        <v>87.53333333</v>
      </c>
      <c r="E72" s="6" t="s">
        <v>19</v>
      </c>
    </row>
    <row r="73">
      <c r="A73" s="16" t="s">
        <v>17</v>
      </c>
      <c r="B73" s="16" t="s">
        <v>62</v>
      </c>
      <c r="C73" s="14" t="s">
        <v>10</v>
      </c>
      <c r="D73" s="17">
        <f>AVERAGE('Espaços'!E1133:E1146)</f>
        <v>151.4285714</v>
      </c>
      <c r="E73" s="6" t="s">
        <v>19</v>
      </c>
    </row>
    <row r="74">
      <c r="A74" s="16" t="s">
        <v>17</v>
      </c>
      <c r="B74" s="16" t="s">
        <v>63</v>
      </c>
      <c r="C74" s="14" t="s">
        <v>18</v>
      </c>
      <c r="D74" s="17">
        <f>AVERAGE('Espaços'!E1147:E1153)</f>
        <v>32.14285714</v>
      </c>
      <c r="E74" s="6" t="s">
        <v>19</v>
      </c>
    </row>
    <row r="75">
      <c r="A75" s="16" t="s">
        <v>17</v>
      </c>
      <c r="B75" s="16" t="s">
        <v>63</v>
      </c>
      <c r="C75" s="14" t="s">
        <v>20</v>
      </c>
      <c r="D75" s="17">
        <f>AVERAGE('Espaços'!E1154:E1163)</f>
        <v>54.4</v>
      </c>
      <c r="E75" s="6" t="s">
        <v>19</v>
      </c>
    </row>
    <row r="76">
      <c r="A76" s="16" t="s">
        <v>17</v>
      </c>
      <c r="B76" s="16" t="s">
        <v>63</v>
      </c>
      <c r="C76" s="14" t="s">
        <v>24</v>
      </c>
      <c r="D76" s="17">
        <f>AVERAGE('Espaços'!E1164:E1165)</f>
        <v>90</v>
      </c>
      <c r="E76" s="6" t="s">
        <v>19</v>
      </c>
    </row>
    <row r="77">
      <c r="A77" s="16" t="s">
        <v>17</v>
      </c>
      <c r="B77" s="16" t="s">
        <v>63</v>
      </c>
      <c r="C77" s="14" t="s">
        <v>10</v>
      </c>
      <c r="D77" s="17">
        <f>AVERAGE('Espaços'!E1166:E1167)</f>
        <v>250</v>
      </c>
      <c r="E77" s="6" t="s">
        <v>19</v>
      </c>
    </row>
    <row r="78">
      <c r="A78" s="16" t="s">
        <v>17</v>
      </c>
      <c r="B78" s="16" t="s">
        <v>64</v>
      </c>
      <c r="C78" s="14" t="s">
        <v>18</v>
      </c>
      <c r="D78" s="17">
        <f>AVERAGE('Espaços'!E1168:E1176)</f>
        <v>29.94444444</v>
      </c>
      <c r="E78" s="6" t="s">
        <v>19</v>
      </c>
    </row>
    <row r="79">
      <c r="A79" s="16" t="s">
        <v>17</v>
      </c>
      <c r="B79" s="16" t="s">
        <v>64</v>
      </c>
      <c r="C79" s="14" t="s">
        <v>20</v>
      </c>
      <c r="D79" s="17">
        <f>AVERAGE('Espaços'!E1177:E1187)</f>
        <v>53.5</v>
      </c>
      <c r="E79" s="6" t="s">
        <v>19</v>
      </c>
    </row>
    <row r="80">
      <c r="A80" s="16" t="s">
        <v>17</v>
      </c>
      <c r="B80" s="16" t="s">
        <v>64</v>
      </c>
      <c r="C80" s="14" t="s">
        <v>24</v>
      </c>
      <c r="D80" s="17">
        <f>AVERAGE('Espaços'!E1188:E1194)</f>
        <v>81.57142857</v>
      </c>
      <c r="E80" s="6" t="s">
        <v>19</v>
      </c>
    </row>
    <row r="81">
      <c r="A81" s="16" t="s">
        <v>17</v>
      </c>
      <c r="B81" s="16" t="s">
        <v>64</v>
      </c>
      <c r="C81" s="14" t="s">
        <v>10</v>
      </c>
      <c r="D81" s="17">
        <f>AVERAGE('Espaços'!E1195:E1200)</f>
        <v>140.5</v>
      </c>
      <c r="E81" s="6" t="s">
        <v>19</v>
      </c>
    </row>
    <row r="82">
      <c r="A82" s="14" t="s">
        <v>25</v>
      </c>
      <c r="B82" s="14" t="s">
        <v>5</v>
      </c>
      <c r="C82" s="14" t="s">
        <v>18</v>
      </c>
      <c r="D82" s="15">
        <v>800.0</v>
      </c>
      <c r="E82" s="6" t="s">
        <v>65</v>
      </c>
    </row>
    <row r="83">
      <c r="A83" s="14" t="s">
        <v>25</v>
      </c>
      <c r="B83" s="14" t="s">
        <v>5</v>
      </c>
      <c r="C83" s="14" t="s">
        <v>20</v>
      </c>
      <c r="D83" s="15">
        <v>1400.0</v>
      </c>
      <c r="E83" s="6" t="s">
        <v>65</v>
      </c>
    </row>
    <row r="84">
      <c r="A84" s="14" t="s">
        <v>25</v>
      </c>
      <c r="B84" s="14" t="s">
        <v>5</v>
      </c>
      <c r="C84" s="14" t="s">
        <v>24</v>
      </c>
      <c r="D84" s="15">
        <v>2700.0</v>
      </c>
      <c r="E84" s="6" t="s">
        <v>65</v>
      </c>
    </row>
    <row r="85">
      <c r="A85" s="14" t="s">
        <v>25</v>
      </c>
      <c r="B85" s="14" t="s">
        <v>5</v>
      </c>
      <c r="C85" s="14" t="s">
        <v>10</v>
      </c>
      <c r="D85" s="15">
        <v>4000.0</v>
      </c>
      <c r="E85" s="6" t="s">
        <v>65</v>
      </c>
    </row>
    <row r="86">
      <c r="A86" s="14" t="s">
        <v>25</v>
      </c>
      <c r="B86" s="14" t="s">
        <v>27</v>
      </c>
      <c r="C86" s="14" t="s">
        <v>18</v>
      </c>
      <c r="D86" s="15">
        <v>600.0</v>
      </c>
      <c r="E86" s="6" t="s">
        <v>65</v>
      </c>
    </row>
    <row r="87">
      <c r="A87" s="14" t="s">
        <v>25</v>
      </c>
      <c r="B87" s="14" t="s">
        <v>27</v>
      </c>
      <c r="C87" s="14" t="s">
        <v>20</v>
      </c>
      <c r="D87" s="15">
        <v>1200.0</v>
      </c>
      <c r="E87" s="6" t="s">
        <v>65</v>
      </c>
    </row>
    <row r="88">
      <c r="A88" s="14" t="s">
        <v>25</v>
      </c>
      <c r="B88" s="14" t="s">
        <v>27</v>
      </c>
      <c r="C88" s="14" t="s">
        <v>24</v>
      </c>
      <c r="D88" s="15">
        <v>2750.0</v>
      </c>
      <c r="E88" s="6" t="s">
        <v>65</v>
      </c>
    </row>
    <row r="89">
      <c r="A89" s="14" t="s">
        <v>25</v>
      </c>
      <c r="B89" s="14" t="s">
        <v>27</v>
      </c>
      <c r="C89" s="14" t="s">
        <v>10</v>
      </c>
      <c r="D89" s="15">
        <v>4000.0</v>
      </c>
      <c r="E89" s="6" t="s">
        <v>65</v>
      </c>
    </row>
    <row r="90">
      <c r="A90" s="14" t="s">
        <v>25</v>
      </c>
      <c r="B90" s="14" t="s">
        <v>32</v>
      </c>
      <c r="C90" s="14" t="s">
        <v>18</v>
      </c>
      <c r="D90" s="15">
        <v>650.0</v>
      </c>
      <c r="E90" s="6" t="s">
        <v>65</v>
      </c>
    </row>
    <row r="91">
      <c r="A91" s="14" t="s">
        <v>25</v>
      </c>
      <c r="B91" s="14" t="s">
        <v>32</v>
      </c>
      <c r="C91" s="14" t="s">
        <v>20</v>
      </c>
      <c r="D91" s="15">
        <v>1400.0</v>
      </c>
      <c r="E91" s="6" t="s">
        <v>65</v>
      </c>
    </row>
    <row r="92">
      <c r="A92" s="14" t="s">
        <v>25</v>
      </c>
      <c r="B92" s="14" t="s">
        <v>32</v>
      </c>
      <c r="C92" s="14" t="s">
        <v>24</v>
      </c>
      <c r="D92" s="15">
        <v>2500.0</v>
      </c>
      <c r="E92" s="6" t="s">
        <v>65</v>
      </c>
    </row>
    <row r="93">
      <c r="A93" s="14" t="s">
        <v>25</v>
      </c>
      <c r="B93" s="14" t="s">
        <v>32</v>
      </c>
      <c r="C93" s="14" t="s">
        <v>10</v>
      </c>
      <c r="D93" s="15">
        <v>3600.0</v>
      </c>
      <c r="E93" s="6" t="s">
        <v>65</v>
      </c>
    </row>
    <row r="94">
      <c r="A94" s="14" t="s">
        <v>25</v>
      </c>
      <c r="B94" s="14" t="s">
        <v>37</v>
      </c>
      <c r="C94" s="14" t="s">
        <v>18</v>
      </c>
      <c r="D94" s="15">
        <v>550.0</v>
      </c>
      <c r="E94" s="6" t="s">
        <v>65</v>
      </c>
    </row>
    <row r="95">
      <c r="A95" s="14" t="s">
        <v>25</v>
      </c>
      <c r="B95" s="14" t="s">
        <v>37</v>
      </c>
      <c r="C95" s="14" t="s">
        <v>20</v>
      </c>
      <c r="D95" s="15">
        <v>1200.0</v>
      </c>
      <c r="E95" s="6" t="s">
        <v>65</v>
      </c>
    </row>
    <row r="96">
      <c r="A96" s="14" t="s">
        <v>25</v>
      </c>
      <c r="B96" s="14" t="s">
        <v>37</v>
      </c>
      <c r="C96" s="14" t="s">
        <v>24</v>
      </c>
      <c r="D96" s="15">
        <v>1800.0</v>
      </c>
      <c r="E96" s="6" t="s">
        <v>65</v>
      </c>
    </row>
    <row r="97">
      <c r="A97" s="14" t="s">
        <v>25</v>
      </c>
      <c r="B97" s="14" t="s">
        <v>37</v>
      </c>
      <c r="C97" s="14" t="s">
        <v>10</v>
      </c>
      <c r="D97" s="15">
        <v>3600.0</v>
      </c>
      <c r="E97" s="6" t="s">
        <v>65</v>
      </c>
    </row>
    <row r="98">
      <c r="A98" s="14" t="s">
        <v>25</v>
      </c>
      <c r="B98" s="14" t="s">
        <v>40</v>
      </c>
      <c r="C98" s="14" t="s">
        <v>18</v>
      </c>
      <c r="D98" s="15">
        <v>650.0</v>
      </c>
      <c r="E98" s="6" t="s">
        <v>65</v>
      </c>
    </row>
    <row r="99">
      <c r="A99" s="14" t="s">
        <v>25</v>
      </c>
      <c r="B99" s="14" t="s">
        <v>40</v>
      </c>
      <c r="C99" s="14" t="s">
        <v>20</v>
      </c>
      <c r="D99" s="15">
        <v>1000.0</v>
      </c>
      <c r="E99" s="6" t="s">
        <v>65</v>
      </c>
    </row>
    <row r="100">
      <c r="A100" s="14" t="s">
        <v>25</v>
      </c>
      <c r="B100" s="14" t="s">
        <v>40</v>
      </c>
      <c r="C100" s="14" t="s">
        <v>24</v>
      </c>
      <c r="D100" s="15">
        <v>1700.0</v>
      </c>
      <c r="E100" s="6" t="s">
        <v>65</v>
      </c>
    </row>
    <row r="101">
      <c r="A101" s="14" t="s">
        <v>25</v>
      </c>
      <c r="B101" s="14" t="s">
        <v>40</v>
      </c>
      <c r="C101" s="14" t="s">
        <v>10</v>
      </c>
      <c r="D101" s="15">
        <v>2500.0</v>
      </c>
      <c r="E101" s="6" t="s">
        <v>65</v>
      </c>
    </row>
    <row r="102">
      <c r="A102" s="14" t="s">
        <v>25</v>
      </c>
      <c r="B102" s="14" t="s">
        <v>42</v>
      </c>
      <c r="C102" s="14" t="s">
        <v>18</v>
      </c>
      <c r="D102" s="15">
        <v>600.0</v>
      </c>
      <c r="E102" s="6" t="s">
        <v>65</v>
      </c>
    </row>
    <row r="103">
      <c r="A103" s="14" t="s">
        <v>25</v>
      </c>
      <c r="B103" s="14" t="s">
        <v>42</v>
      </c>
      <c r="C103" s="14" t="s">
        <v>20</v>
      </c>
      <c r="D103" s="15">
        <v>1100.0</v>
      </c>
      <c r="E103" s="6" t="s">
        <v>65</v>
      </c>
    </row>
    <row r="104">
      <c r="A104" s="14" t="s">
        <v>25</v>
      </c>
      <c r="B104" s="14" t="s">
        <v>42</v>
      </c>
      <c r="C104" s="14" t="s">
        <v>24</v>
      </c>
      <c r="D104" s="15">
        <v>1600.0</v>
      </c>
      <c r="E104" s="6" t="s">
        <v>65</v>
      </c>
    </row>
    <row r="105">
      <c r="A105" s="14" t="s">
        <v>25</v>
      </c>
      <c r="B105" s="14" t="s">
        <v>42</v>
      </c>
      <c r="C105" s="14" t="s">
        <v>10</v>
      </c>
      <c r="D105" s="15">
        <v>2000.0</v>
      </c>
      <c r="E105" s="6" t="s">
        <v>65</v>
      </c>
    </row>
    <row r="106">
      <c r="A106" s="14" t="s">
        <v>25</v>
      </c>
      <c r="B106" s="14" t="s">
        <v>43</v>
      </c>
      <c r="C106" s="14" t="s">
        <v>18</v>
      </c>
      <c r="D106" s="15">
        <v>600.0</v>
      </c>
      <c r="E106" s="6" t="s">
        <v>65</v>
      </c>
    </row>
    <row r="107">
      <c r="A107" s="14" t="s">
        <v>25</v>
      </c>
      <c r="B107" s="14" t="s">
        <v>43</v>
      </c>
      <c r="C107" s="14" t="s">
        <v>20</v>
      </c>
      <c r="D107" s="15">
        <v>1050.0</v>
      </c>
      <c r="E107" s="6" t="s">
        <v>65</v>
      </c>
    </row>
    <row r="108">
      <c r="A108" s="14" t="s">
        <v>25</v>
      </c>
      <c r="B108" s="14" t="s">
        <v>43</v>
      </c>
      <c r="C108" s="14" t="s">
        <v>24</v>
      </c>
      <c r="D108" s="15">
        <v>1250.0</v>
      </c>
      <c r="E108" s="6" t="s">
        <v>65</v>
      </c>
    </row>
    <row r="109">
      <c r="A109" s="14" t="s">
        <v>25</v>
      </c>
      <c r="B109" s="14" t="s">
        <v>43</v>
      </c>
      <c r="C109" s="14" t="s">
        <v>10</v>
      </c>
      <c r="D109" s="15">
        <v>2000.0</v>
      </c>
      <c r="E109" s="6" t="s">
        <v>65</v>
      </c>
    </row>
    <row r="110">
      <c r="A110" s="14" t="s">
        <v>25</v>
      </c>
      <c r="B110" s="14" t="s">
        <v>44</v>
      </c>
      <c r="C110" s="14" t="s">
        <v>18</v>
      </c>
      <c r="D110" s="15">
        <v>600.0</v>
      </c>
      <c r="E110" s="6" t="s">
        <v>65</v>
      </c>
    </row>
    <row r="111">
      <c r="A111" s="14" t="s">
        <v>25</v>
      </c>
      <c r="B111" s="14" t="s">
        <v>44</v>
      </c>
      <c r="C111" s="14" t="s">
        <v>20</v>
      </c>
      <c r="D111" s="15">
        <v>950.0</v>
      </c>
      <c r="E111" s="6" t="s">
        <v>65</v>
      </c>
    </row>
    <row r="112">
      <c r="A112" s="14" t="s">
        <v>25</v>
      </c>
      <c r="B112" s="14" t="s">
        <v>44</v>
      </c>
      <c r="C112" s="14" t="s">
        <v>24</v>
      </c>
      <c r="D112" s="15">
        <v>1300.0</v>
      </c>
      <c r="E112" s="6" t="s">
        <v>65</v>
      </c>
    </row>
    <row r="113">
      <c r="A113" s="14" t="s">
        <v>25</v>
      </c>
      <c r="B113" s="14" t="s">
        <v>44</v>
      </c>
      <c r="C113" s="14" t="s">
        <v>10</v>
      </c>
      <c r="D113" s="15">
        <v>2000.0</v>
      </c>
      <c r="E113" s="6" t="s">
        <v>65</v>
      </c>
    </row>
    <row r="114">
      <c r="A114" s="14" t="s">
        <v>25</v>
      </c>
      <c r="B114" s="14" t="s">
        <v>49</v>
      </c>
      <c r="C114" s="14" t="s">
        <v>18</v>
      </c>
      <c r="D114" s="15">
        <v>600.0</v>
      </c>
      <c r="E114" s="6" t="s">
        <v>65</v>
      </c>
    </row>
    <row r="115">
      <c r="A115" s="14" t="s">
        <v>25</v>
      </c>
      <c r="B115" s="14" t="s">
        <v>49</v>
      </c>
      <c r="C115" s="14" t="s">
        <v>20</v>
      </c>
      <c r="D115" s="15">
        <v>800.0</v>
      </c>
      <c r="E115" s="6" t="s">
        <v>65</v>
      </c>
    </row>
    <row r="116">
      <c r="A116" s="14" t="s">
        <v>25</v>
      </c>
      <c r="B116" s="14" t="s">
        <v>49</v>
      </c>
      <c r="C116" s="14" t="s">
        <v>24</v>
      </c>
      <c r="D116" s="15">
        <v>1200.0</v>
      </c>
      <c r="E116" s="6" t="s">
        <v>65</v>
      </c>
    </row>
    <row r="117">
      <c r="A117" s="14" t="s">
        <v>25</v>
      </c>
      <c r="B117" s="14" t="s">
        <v>49</v>
      </c>
      <c r="C117" s="14" t="s">
        <v>10</v>
      </c>
      <c r="D117" s="15">
        <v>2000.0</v>
      </c>
      <c r="E117" s="6" t="s">
        <v>65</v>
      </c>
    </row>
    <row r="118">
      <c r="A118" s="14" t="s">
        <v>25</v>
      </c>
      <c r="B118" s="14" t="s">
        <v>50</v>
      </c>
      <c r="C118" s="14" t="s">
        <v>18</v>
      </c>
      <c r="D118" s="15">
        <v>600.0</v>
      </c>
      <c r="E118" s="6" t="s">
        <v>65</v>
      </c>
    </row>
    <row r="119">
      <c r="A119" s="14" t="s">
        <v>25</v>
      </c>
      <c r="B119" s="14" t="s">
        <v>50</v>
      </c>
      <c r="C119" s="14" t="s">
        <v>20</v>
      </c>
      <c r="D119" s="15">
        <v>1200.0</v>
      </c>
      <c r="E119" s="6" t="s">
        <v>65</v>
      </c>
    </row>
    <row r="120">
      <c r="A120" s="14" t="s">
        <v>25</v>
      </c>
      <c r="B120" s="14" t="s">
        <v>50</v>
      </c>
      <c r="C120" s="14" t="s">
        <v>24</v>
      </c>
      <c r="D120" s="15">
        <v>2000.0</v>
      </c>
      <c r="E120" s="6" t="s">
        <v>65</v>
      </c>
    </row>
    <row r="121">
      <c r="A121" s="14" t="s">
        <v>25</v>
      </c>
      <c r="B121" s="14" t="s">
        <v>50</v>
      </c>
      <c r="C121" s="14" t="s">
        <v>10</v>
      </c>
      <c r="D121" s="15">
        <v>3000.0</v>
      </c>
      <c r="E121" s="6" t="s">
        <v>65</v>
      </c>
    </row>
    <row r="122">
      <c r="A122" s="14" t="s">
        <v>25</v>
      </c>
      <c r="B122" s="14" t="s">
        <v>11</v>
      </c>
      <c r="C122" s="14" t="s">
        <v>18</v>
      </c>
      <c r="D122" s="15">
        <v>650.0</v>
      </c>
      <c r="E122" s="6" t="s">
        <v>65</v>
      </c>
    </row>
    <row r="123">
      <c r="A123" s="14" t="s">
        <v>25</v>
      </c>
      <c r="B123" s="14" t="s">
        <v>11</v>
      </c>
      <c r="C123" s="14" t="s">
        <v>20</v>
      </c>
      <c r="D123" s="15">
        <v>1200.0</v>
      </c>
      <c r="E123" s="6" t="s">
        <v>65</v>
      </c>
    </row>
    <row r="124">
      <c r="A124" s="14" t="s">
        <v>25</v>
      </c>
      <c r="B124" s="14" t="s">
        <v>11</v>
      </c>
      <c r="C124" s="14" t="s">
        <v>24</v>
      </c>
      <c r="D124" s="15">
        <v>2700.0</v>
      </c>
      <c r="E124" s="6" t="s">
        <v>65</v>
      </c>
    </row>
    <row r="125">
      <c r="A125" s="14" t="s">
        <v>25</v>
      </c>
      <c r="B125" s="14" t="s">
        <v>11</v>
      </c>
      <c r="C125" s="14" t="s">
        <v>10</v>
      </c>
      <c r="D125" s="15">
        <v>4500.0</v>
      </c>
      <c r="E125" s="6" t="s">
        <v>65</v>
      </c>
    </row>
    <row r="126">
      <c r="A126" s="14" t="s">
        <v>25</v>
      </c>
      <c r="B126" s="14" t="s">
        <v>55</v>
      </c>
      <c r="C126" s="14" t="s">
        <v>18</v>
      </c>
      <c r="D126" s="15">
        <v>500.0</v>
      </c>
      <c r="E126" s="6" t="s">
        <v>65</v>
      </c>
    </row>
    <row r="127">
      <c r="A127" s="14" t="s">
        <v>25</v>
      </c>
      <c r="B127" s="14" t="s">
        <v>55</v>
      </c>
      <c r="C127" s="14" t="s">
        <v>20</v>
      </c>
      <c r="D127" s="15">
        <v>850.0</v>
      </c>
      <c r="E127" s="6" t="s">
        <v>65</v>
      </c>
    </row>
    <row r="128">
      <c r="A128" s="14" t="s">
        <v>25</v>
      </c>
      <c r="B128" s="14" t="s">
        <v>55</v>
      </c>
      <c r="C128" s="14" t="s">
        <v>24</v>
      </c>
      <c r="D128" s="15">
        <v>1200.0</v>
      </c>
      <c r="E128" s="6" t="s">
        <v>65</v>
      </c>
    </row>
    <row r="129">
      <c r="A129" s="14" t="s">
        <v>25</v>
      </c>
      <c r="B129" s="14" t="s">
        <v>55</v>
      </c>
      <c r="C129" s="14" t="s">
        <v>10</v>
      </c>
      <c r="D129" s="15">
        <v>2000.0</v>
      </c>
      <c r="E129" s="6" t="s">
        <v>65</v>
      </c>
    </row>
    <row r="130">
      <c r="A130" s="14" t="s">
        <v>25</v>
      </c>
      <c r="B130" s="14" t="s">
        <v>57</v>
      </c>
      <c r="C130" s="14" t="s">
        <v>18</v>
      </c>
      <c r="D130" s="15">
        <v>650.0</v>
      </c>
      <c r="E130" s="6" t="s">
        <v>65</v>
      </c>
    </row>
    <row r="131">
      <c r="A131" s="14" t="s">
        <v>25</v>
      </c>
      <c r="B131" s="14" t="s">
        <v>57</v>
      </c>
      <c r="C131" s="14" t="s">
        <v>20</v>
      </c>
      <c r="D131" s="15">
        <v>1200.0</v>
      </c>
      <c r="E131" s="6" t="s">
        <v>65</v>
      </c>
    </row>
    <row r="132">
      <c r="A132" s="14" t="s">
        <v>25</v>
      </c>
      <c r="B132" s="14" t="s">
        <v>57</v>
      </c>
      <c r="C132" s="14" t="s">
        <v>24</v>
      </c>
      <c r="D132" s="15">
        <v>1800.0</v>
      </c>
      <c r="E132" s="6" t="s">
        <v>65</v>
      </c>
    </row>
    <row r="133">
      <c r="A133" s="14" t="s">
        <v>25</v>
      </c>
      <c r="B133" s="14" t="s">
        <v>57</v>
      </c>
      <c r="C133" s="14" t="s">
        <v>10</v>
      </c>
      <c r="D133" s="15">
        <v>4000.0</v>
      </c>
      <c r="E133" s="6" t="s">
        <v>65</v>
      </c>
    </row>
    <row r="134">
      <c r="A134" s="14" t="s">
        <v>25</v>
      </c>
      <c r="B134" s="14" t="s">
        <v>58</v>
      </c>
      <c r="C134" s="14" t="s">
        <v>18</v>
      </c>
      <c r="D134" s="15">
        <v>600.0</v>
      </c>
      <c r="E134" s="6" t="s">
        <v>65</v>
      </c>
    </row>
    <row r="135">
      <c r="A135" s="14" t="s">
        <v>25</v>
      </c>
      <c r="B135" s="14" t="s">
        <v>58</v>
      </c>
      <c r="C135" s="14" t="s">
        <v>20</v>
      </c>
      <c r="D135" s="15">
        <v>1000.0</v>
      </c>
      <c r="E135" s="6" t="s">
        <v>65</v>
      </c>
    </row>
    <row r="136">
      <c r="A136" s="14" t="s">
        <v>25</v>
      </c>
      <c r="B136" s="14" t="s">
        <v>58</v>
      </c>
      <c r="C136" s="14" t="s">
        <v>24</v>
      </c>
      <c r="D136" s="15">
        <v>2100.0</v>
      </c>
      <c r="E136" s="6" t="s">
        <v>65</v>
      </c>
    </row>
    <row r="137">
      <c r="A137" s="14" t="s">
        <v>25</v>
      </c>
      <c r="B137" s="14" t="s">
        <v>58</v>
      </c>
      <c r="C137" s="14" t="s">
        <v>10</v>
      </c>
      <c r="D137" s="15">
        <v>3500.0</v>
      </c>
      <c r="E137" s="6" t="s">
        <v>65</v>
      </c>
    </row>
    <row r="138">
      <c r="A138" s="14" t="s">
        <v>25</v>
      </c>
      <c r="B138" s="14" t="s">
        <v>59</v>
      </c>
      <c r="C138" s="14" t="s">
        <v>18</v>
      </c>
      <c r="D138" s="15">
        <v>600.0</v>
      </c>
      <c r="E138" s="6" t="s">
        <v>65</v>
      </c>
    </row>
    <row r="139">
      <c r="A139" s="14" t="s">
        <v>25</v>
      </c>
      <c r="B139" s="14" t="s">
        <v>59</v>
      </c>
      <c r="C139" s="14" t="s">
        <v>20</v>
      </c>
      <c r="D139" s="15">
        <v>1100.0</v>
      </c>
      <c r="E139" s="6" t="s">
        <v>65</v>
      </c>
    </row>
    <row r="140">
      <c r="A140" s="14" t="s">
        <v>25</v>
      </c>
      <c r="B140" s="14" t="s">
        <v>59</v>
      </c>
      <c r="C140" s="14" t="s">
        <v>24</v>
      </c>
      <c r="D140" s="15">
        <v>2000.0</v>
      </c>
      <c r="E140" s="6" t="s">
        <v>65</v>
      </c>
    </row>
    <row r="141">
      <c r="A141" s="14" t="s">
        <v>25</v>
      </c>
      <c r="B141" s="14" t="s">
        <v>59</v>
      </c>
      <c r="C141" s="14" t="s">
        <v>10</v>
      </c>
      <c r="D141" s="15">
        <v>3500.0</v>
      </c>
      <c r="E141" s="6" t="s">
        <v>65</v>
      </c>
    </row>
    <row r="142">
      <c r="A142" s="14" t="s">
        <v>25</v>
      </c>
      <c r="B142" s="14" t="s">
        <v>60</v>
      </c>
      <c r="C142" s="14" t="s">
        <v>18</v>
      </c>
      <c r="D142" s="15">
        <v>850.0</v>
      </c>
      <c r="E142" s="6" t="s">
        <v>65</v>
      </c>
    </row>
    <row r="143">
      <c r="A143" s="14" t="s">
        <v>25</v>
      </c>
      <c r="B143" s="14" t="s">
        <v>60</v>
      </c>
      <c r="C143" s="14" t="s">
        <v>20</v>
      </c>
      <c r="D143" s="15">
        <v>1000.0</v>
      </c>
      <c r="E143" s="6" t="s">
        <v>65</v>
      </c>
    </row>
    <row r="144">
      <c r="A144" s="14" t="s">
        <v>25</v>
      </c>
      <c r="B144" s="14" t="s">
        <v>60</v>
      </c>
      <c r="C144" s="14" t="s">
        <v>24</v>
      </c>
      <c r="D144" s="15">
        <v>1800.0</v>
      </c>
      <c r="E144" s="6" t="s">
        <v>65</v>
      </c>
    </row>
    <row r="145">
      <c r="A145" s="14" t="s">
        <v>25</v>
      </c>
      <c r="B145" s="14" t="s">
        <v>60</v>
      </c>
      <c r="C145" s="14" t="s">
        <v>10</v>
      </c>
      <c r="D145" s="15">
        <v>3200.0</v>
      </c>
      <c r="E145" s="6" t="s">
        <v>65</v>
      </c>
    </row>
    <row r="146">
      <c r="A146" s="14" t="s">
        <v>25</v>
      </c>
      <c r="B146" s="14" t="s">
        <v>61</v>
      </c>
      <c r="C146" s="14" t="s">
        <v>18</v>
      </c>
      <c r="D146" s="15">
        <v>700.0</v>
      </c>
      <c r="E146" s="6" t="s">
        <v>65</v>
      </c>
    </row>
    <row r="147">
      <c r="A147" s="14" t="s">
        <v>25</v>
      </c>
      <c r="B147" s="14" t="s">
        <v>61</v>
      </c>
      <c r="C147" s="14" t="s">
        <v>20</v>
      </c>
      <c r="D147" s="15">
        <v>1200.0</v>
      </c>
      <c r="E147" s="6" t="s">
        <v>65</v>
      </c>
    </row>
    <row r="148">
      <c r="A148" s="14" t="s">
        <v>25</v>
      </c>
      <c r="B148" s="14" t="s">
        <v>61</v>
      </c>
      <c r="C148" s="14" t="s">
        <v>24</v>
      </c>
      <c r="D148" s="15">
        <v>1600.0</v>
      </c>
      <c r="E148" s="6" t="s">
        <v>65</v>
      </c>
    </row>
    <row r="149">
      <c r="A149" s="14" t="s">
        <v>25</v>
      </c>
      <c r="B149" s="14" t="s">
        <v>61</v>
      </c>
      <c r="C149" s="14" t="s">
        <v>10</v>
      </c>
      <c r="D149" s="15">
        <v>2500.0</v>
      </c>
      <c r="E149" s="6" t="s">
        <v>65</v>
      </c>
    </row>
    <row r="150">
      <c r="A150" s="14" t="s">
        <v>25</v>
      </c>
      <c r="B150" s="14" t="s">
        <v>62</v>
      </c>
      <c r="C150" s="14" t="s">
        <v>18</v>
      </c>
      <c r="D150" s="15">
        <v>750.0</v>
      </c>
      <c r="E150" s="6" t="s">
        <v>65</v>
      </c>
    </row>
    <row r="151">
      <c r="A151" s="14" t="s">
        <v>25</v>
      </c>
      <c r="B151" s="14" t="s">
        <v>62</v>
      </c>
      <c r="C151" s="14" t="s">
        <v>20</v>
      </c>
      <c r="D151" s="15">
        <v>1200.0</v>
      </c>
      <c r="E151" s="6" t="s">
        <v>65</v>
      </c>
    </row>
    <row r="152">
      <c r="A152" s="14" t="s">
        <v>25</v>
      </c>
      <c r="B152" s="14" t="s">
        <v>62</v>
      </c>
      <c r="C152" s="14" t="s">
        <v>24</v>
      </c>
      <c r="D152" s="15">
        <v>1650.0</v>
      </c>
      <c r="E152" s="6" t="s">
        <v>65</v>
      </c>
    </row>
    <row r="153">
      <c r="A153" s="14" t="s">
        <v>25</v>
      </c>
      <c r="B153" s="14" t="s">
        <v>62</v>
      </c>
      <c r="C153" s="14" t="s">
        <v>10</v>
      </c>
      <c r="D153" s="15">
        <v>3000.0</v>
      </c>
      <c r="E153" s="6" t="s">
        <v>65</v>
      </c>
    </row>
    <row r="154">
      <c r="A154" s="14" t="s">
        <v>25</v>
      </c>
      <c r="B154" s="14" t="s">
        <v>63</v>
      </c>
      <c r="C154" s="14" t="s">
        <v>18</v>
      </c>
      <c r="D154" s="15">
        <v>800.0</v>
      </c>
      <c r="E154" s="6" t="s">
        <v>65</v>
      </c>
    </row>
    <row r="155">
      <c r="A155" s="14" t="s">
        <v>25</v>
      </c>
      <c r="B155" s="14" t="s">
        <v>63</v>
      </c>
      <c r="C155" s="14" t="s">
        <v>20</v>
      </c>
      <c r="D155" s="15">
        <v>1200.0</v>
      </c>
      <c r="E155" s="6" t="s">
        <v>65</v>
      </c>
    </row>
    <row r="156">
      <c r="A156" s="14" t="s">
        <v>25</v>
      </c>
      <c r="B156" s="14" t="s">
        <v>63</v>
      </c>
      <c r="C156" s="14" t="s">
        <v>24</v>
      </c>
      <c r="D156" s="15">
        <v>2000.0</v>
      </c>
      <c r="E156" s="6" t="s">
        <v>65</v>
      </c>
    </row>
    <row r="157">
      <c r="A157" s="14" t="s">
        <v>25</v>
      </c>
      <c r="B157" s="14" t="s">
        <v>63</v>
      </c>
      <c r="C157" s="14" t="s">
        <v>10</v>
      </c>
      <c r="D157" s="15">
        <v>3500.0</v>
      </c>
      <c r="E157" s="6" t="s">
        <v>65</v>
      </c>
    </row>
    <row r="158">
      <c r="A158" s="14" t="s">
        <v>25</v>
      </c>
      <c r="B158" s="14" t="s">
        <v>64</v>
      </c>
      <c r="C158" s="14" t="s">
        <v>18</v>
      </c>
      <c r="D158" s="15">
        <v>750.0</v>
      </c>
      <c r="E158" s="6" t="s">
        <v>65</v>
      </c>
    </row>
    <row r="159">
      <c r="A159" s="14" t="s">
        <v>25</v>
      </c>
      <c r="B159" s="14" t="s">
        <v>64</v>
      </c>
      <c r="C159" s="14" t="s">
        <v>20</v>
      </c>
      <c r="D159" s="15">
        <v>1200.0</v>
      </c>
      <c r="E159" s="6" t="s">
        <v>65</v>
      </c>
    </row>
    <row r="160">
      <c r="A160" s="14" t="s">
        <v>25</v>
      </c>
      <c r="B160" s="14" t="s">
        <v>64</v>
      </c>
      <c r="C160" s="14" t="s">
        <v>24</v>
      </c>
      <c r="D160" s="15">
        <v>1800.0</v>
      </c>
      <c r="E160" s="6" t="s">
        <v>65</v>
      </c>
    </row>
    <row r="161">
      <c r="A161" s="14" t="s">
        <v>25</v>
      </c>
      <c r="B161" s="14" t="s">
        <v>64</v>
      </c>
      <c r="C161" s="14" t="s">
        <v>10</v>
      </c>
      <c r="D161" s="15">
        <v>3500.0</v>
      </c>
      <c r="E161" s="6" t="s">
        <v>65</v>
      </c>
    </row>
    <row r="162">
      <c r="A162" s="14" t="s">
        <v>30</v>
      </c>
      <c r="B162" s="14" t="s">
        <v>5</v>
      </c>
      <c r="C162" s="14" t="s">
        <v>18</v>
      </c>
      <c r="D162" s="15">
        <v>300.0</v>
      </c>
      <c r="E162" s="6" t="s">
        <v>65</v>
      </c>
    </row>
    <row r="163">
      <c r="A163" s="14" t="s">
        <v>30</v>
      </c>
      <c r="B163" s="14" t="s">
        <v>5</v>
      </c>
      <c r="C163" s="14" t="s">
        <v>20</v>
      </c>
      <c r="D163" s="15">
        <v>900.0</v>
      </c>
      <c r="E163" s="6" t="s">
        <v>65</v>
      </c>
    </row>
    <row r="164">
      <c r="A164" s="14" t="s">
        <v>30</v>
      </c>
      <c r="B164" s="14" t="s">
        <v>5</v>
      </c>
      <c r="C164" s="14" t="s">
        <v>24</v>
      </c>
      <c r="D164" s="15">
        <v>2000.0</v>
      </c>
      <c r="E164" s="6" t="s">
        <v>65</v>
      </c>
    </row>
    <row r="165">
      <c r="A165" s="14" t="s">
        <v>30</v>
      </c>
      <c r="B165" s="14" t="s">
        <v>5</v>
      </c>
      <c r="C165" s="14" t="s">
        <v>10</v>
      </c>
      <c r="D165" s="15">
        <v>6000.0</v>
      </c>
      <c r="E165" s="6" t="s">
        <v>65</v>
      </c>
    </row>
    <row r="166">
      <c r="A166" s="14" t="s">
        <v>30</v>
      </c>
      <c r="B166" s="14" t="s">
        <v>27</v>
      </c>
      <c r="C166" s="14" t="s">
        <v>18</v>
      </c>
      <c r="D166" s="15">
        <v>300.0</v>
      </c>
      <c r="E166" s="6" t="s">
        <v>65</v>
      </c>
    </row>
    <row r="167">
      <c r="A167" s="14" t="s">
        <v>30</v>
      </c>
      <c r="B167" s="14" t="s">
        <v>27</v>
      </c>
      <c r="C167" s="14" t="s">
        <v>20</v>
      </c>
      <c r="D167" s="15">
        <v>1000.0</v>
      </c>
      <c r="E167" s="6" t="s">
        <v>65</v>
      </c>
    </row>
    <row r="168">
      <c r="A168" s="14" t="s">
        <v>30</v>
      </c>
      <c r="B168" s="14" t="s">
        <v>27</v>
      </c>
      <c r="C168" s="14" t="s">
        <v>24</v>
      </c>
      <c r="D168" s="15">
        <v>2500.0</v>
      </c>
      <c r="E168" s="6" t="s">
        <v>65</v>
      </c>
    </row>
    <row r="169">
      <c r="A169" s="14" t="s">
        <v>30</v>
      </c>
      <c r="B169" s="14" t="s">
        <v>27</v>
      </c>
      <c r="C169" s="14" t="s">
        <v>10</v>
      </c>
      <c r="D169" s="15">
        <v>4500.0</v>
      </c>
      <c r="E169" s="6" t="s">
        <v>65</v>
      </c>
    </row>
    <row r="170">
      <c r="A170" s="14" t="s">
        <v>30</v>
      </c>
      <c r="B170" s="14" t="s">
        <v>32</v>
      </c>
      <c r="C170" s="14" t="s">
        <v>18</v>
      </c>
      <c r="D170" s="15">
        <v>1000.0</v>
      </c>
      <c r="E170" s="6" t="s">
        <v>65</v>
      </c>
    </row>
    <row r="171">
      <c r="A171" s="14" t="s">
        <v>30</v>
      </c>
      <c r="B171" s="14" t="s">
        <v>32</v>
      </c>
      <c r="C171" s="14" t="s">
        <v>20</v>
      </c>
      <c r="D171" s="15">
        <v>2000.0</v>
      </c>
      <c r="E171" s="6" t="s">
        <v>65</v>
      </c>
    </row>
    <row r="172">
      <c r="A172" s="14" t="s">
        <v>30</v>
      </c>
      <c r="B172" s="14" t="s">
        <v>32</v>
      </c>
      <c r="C172" s="14" t="s">
        <v>24</v>
      </c>
      <c r="D172" s="15">
        <v>3500.0</v>
      </c>
      <c r="E172" s="6" t="s">
        <v>65</v>
      </c>
    </row>
    <row r="173">
      <c r="A173" s="14" t="s">
        <v>30</v>
      </c>
      <c r="B173" s="14" t="s">
        <v>32</v>
      </c>
      <c r="C173" s="14" t="s">
        <v>10</v>
      </c>
      <c r="D173" s="15">
        <v>7000.0</v>
      </c>
      <c r="E173" s="6" t="s">
        <v>65</v>
      </c>
    </row>
    <row r="174">
      <c r="A174" s="14" t="s">
        <v>30</v>
      </c>
      <c r="B174" s="14" t="s">
        <v>37</v>
      </c>
      <c r="C174" s="14" t="s">
        <v>18</v>
      </c>
      <c r="D174" s="15">
        <v>900.0</v>
      </c>
      <c r="E174" s="6" t="s">
        <v>65</v>
      </c>
    </row>
    <row r="175">
      <c r="A175" s="14" t="s">
        <v>30</v>
      </c>
      <c r="B175" s="14" t="s">
        <v>37</v>
      </c>
      <c r="C175" s="14" t="s">
        <v>20</v>
      </c>
      <c r="D175" s="15">
        <v>1600.0</v>
      </c>
      <c r="E175" s="6" t="s">
        <v>65</v>
      </c>
    </row>
    <row r="176">
      <c r="A176" s="14" t="s">
        <v>30</v>
      </c>
      <c r="B176" s="14" t="s">
        <v>37</v>
      </c>
      <c r="C176" s="14" t="s">
        <v>24</v>
      </c>
      <c r="D176" s="15">
        <v>3000.0</v>
      </c>
      <c r="E176" s="6" t="s">
        <v>65</v>
      </c>
    </row>
    <row r="177">
      <c r="A177" s="14" t="s">
        <v>30</v>
      </c>
      <c r="B177" s="14" t="s">
        <v>37</v>
      </c>
      <c r="C177" s="14" t="s">
        <v>10</v>
      </c>
      <c r="D177" s="15">
        <v>6000.0</v>
      </c>
      <c r="E177" s="6" t="s">
        <v>65</v>
      </c>
    </row>
    <row r="178">
      <c r="A178" s="14" t="s">
        <v>30</v>
      </c>
      <c r="B178" s="14" t="s">
        <v>40</v>
      </c>
      <c r="C178" s="14" t="s">
        <v>18</v>
      </c>
      <c r="D178" s="15">
        <v>900.0</v>
      </c>
      <c r="E178" s="6" t="s">
        <v>65</v>
      </c>
    </row>
    <row r="179">
      <c r="A179" s="14" t="s">
        <v>30</v>
      </c>
      <c r="B179" s="14" t="s">
        <v>40</v>
      </c>
      <c r="C179" s="14" t="s">
        <v>20</v>
      </c>
      <c r="D179" s="15">
        <v>1600.0</v>
      </c>
      <c r="E179" s="6" t="s">
        <v>65</v>
      </c>
    </row>
    <row r="180">
      <c r="A180" s="14" t="s">
        <v>30</v>
      </c>
      <c r="B180" s="14" t="s">
        <v>40</v>
      </c>
      <c r="C180" s="14" t="s">
        <v>24</v>
      </c>
      <c r="D180" s="15">
        <v>2300.0</v>
      </c>
      <c r="E180" s="6" t="s">
        <v>65</v>
      </c>
    </row>
    <row r="181">
      <c r="A181" s="14" t="s">
        <v>30</v>
      </c>
      <c r="B181" s="14" t="s">
        <v>40</v>
      </c>
      <c r="C181" s="14" t="s">
        <v>10</v>
      </c>
      <c r="D181" s="15">
        <v>5000.0</v>
      </c>
      <c r="E181" s="6" t="s">
        <v>65</v>
      </c>
    </row>
    <row r="182">
      <c r="A182" s="14" t="s">
        <v>30</v>
      </c>
      <c r="B182" s="14" t="s">
        <v>42</v>
      </c>
      <c r="C182" s="14" t="s">
        <v>18</v>
      </c>
      <c r="D182" s="15">
        <v>900.0</v>
      </c>
      <c r="E182" s="6" t="s">
        <v>65</v>
      </c>
    </row>
    <row r="183">
      <c r="A183" s="14" t="s">
        <v>30</v>
      </c>
      <c r="B183" s="14" t="s">
        <v>42</v>
      </c>
      <c r="C183" s="14" t="s">
        <v>20</v>
      </c>
      <c r="D183" s="15">
        <v>1700.0</v>
      </c>
      <c r="E183" s="6" t="s">
        <v>65</v>
      </c>
    </row>
    <row r="184">
      <c r="A184" s="14" t="s">
        <v>30</v>
      </c>
      <c r="B184" s="14" t="s">
        <v>42</v>
      </c>
      <c r="C184" s="14" t="s">
        <v>24</v>
      </c>
      <c r="D184" s="15">
        <v>2500.0</v>
      </c>
      <c r="E184" s="6" t="s">
        <v>65</v>
      </c>
    </row>
    <row r="185">
      <c r="A185" s="14" t="s">
        <v>30</v>
      </c>
      <c r="B185" s="14" t="s">
        <v>42</v>
      </c>
      <c r="C185" s="14" t="s">
        <v>10</v>
      </c>
      <c r="D185" s="15">
        <v>6000.0</v>
      </c>
      <c r="E185" s="6" t="s">
        <v>65</v>
      </c>
    </row>
    <row r="186">
      <c r="A186" s="14" t="s">
        <v>30</v>
      </c>
      <c r="B186" s="14" t="s">
        <v>43</v>
      </c>
      <c r="C186" s="14" t="s">
        <v>18</v>
      </c>
      <c r="D186" s="15">
        <v>700.0</v>
      </c>
      <c r="E186" s="6" t="s">
        <v>65</v>
      </c>
    </row>
    <row r="187">
      <c r="A187" s="14" t="s">
        <v>30</v>
      </c>
      <c r="B187" s="14" t="s">
        <v>43</v>
      </c>
      <c r="C187" s="14" t="s">
        <v>20</v>
      </c>
      <c r="D187" s="15">
        <v>1500.0</v>
      </c>
      <c r="E187" s="6" t="s">
        <v>65</v>
      </c>
    </row>
    <row r="188">
      <c r="A188" s="14" t="s">
        <v>30</v>
      </c>
      <c r="B188" s="14" t="s">
        <v>43</v>
      </c>
      <c r="C188" s="14" t="s">
        <v>24</v>
      </c>
      <c r="D188" s="15">
        <v>3000.0</v>
      </c>
      <c r="E188" s="6" t="s">
        <v>65</v>
      </c>
    </row>
    <row r="189">
      <c r="A189" s="14" t="s">
        <v>30</v>
      </c>
      <c r="B189" s="14" t="s">
        <v>43</v>
      </c>
      <c r="C189" s="14" t="s">
        <v>10</v>
      </c>
      <c r="D189" s="15">
        <v>6000.0</v>
      </c>
      <c r="E189" s="6" t="s">
        <v>65</v>
      </c>
    </row>
    <row r="190">
      <c r="A190" s="14" t="s">
        <v>30</v>
      </c>
      <c r="B190" s="14" t="s">
        <v>44</v>
      </c>
      <c r="C190" s="14" t="s">
        <v>18</v>
      </c>
      <c r="D190" s="15">
        <v>800.0</v>
      </c>
      <c r="E190" s="6" t="s">
        <v>65</v>
      </c>
    </row>
    <row r="191">
      <c r="A191" s="14" t="s">
        <v>30</v>
      </c>
      <c r="B191" s="14" t="s">
        <v>44</v>
      </c>
      <c r="C191" s="14" t="s">
        <v>20</v>
      </c>
      <c r="D191" s="15">
        <v>1800.0</v>
      </c>
      <c r="E191" s="6" t="s">
        <v>65</v>
      </c>
    </row>
    <row r="192">
      <c r="A192" s="14" t="s">
        <v>30</v>
      </c>
      <c r="B192" s="14" t="s">
        <v>44</v>
      </c>
      <c r="C192" s="14" t="s">
        <v>24</v>
      </c>
      <c r="D192" s="15">
        <v>3500.0</v>
      </c>
      <c r="E192" s="6" t="s">
        <v>65</v>
      </c>
    </row>
    <row r="193">
      <c r="A193" s="14" t="s">
        <v>30</v>
      </c>
      <c r="B193" s="14" t="s">
        <v>44</v>
      </c>
      <c r="C193" s="14" t="s">
        <v>10</v>
      </c>
      <c r="D193" s="15">
        <v>7000.0</v>
      </c>
      <c r="E193" s="6" t="s">
        <v>65</v>
      </c>
    </row>
    <row r="194">
      <c r="A194" s="14" t="s">
        <v>30</v>
      </c>
      <c r="B194" s="14" t="s">
        <v>49</v>
      </c>
      <c r="C194" s="14" t="s">
        <v>18</v>
      </c>
      <c r="D194" s="15">
        <v>600.0</v>
      </c>
      <c r="E194" s="6" t="s">
        <v>65</v>
      </c>
    </row>
    <row r="195">
      <c r="A195" s="14" t="s">
        <v>30</v>
      </c>
      <c r="B195" s="14" t="s">
        <v>49</v>
      </c>
      <c r="C195" s="14" t="s">
        <v>20</v>
      </c>
      <c r="D195" s="15">
        <v>1400.0</v>
      </c>
      <c r="E195" s="6" t="s">
        <v>65</v>
      </c>
    </row>
    <row r="196">
      <c r="A196" s="14" t="s">
        <v>30</v>
      </c>
      <c r="B196" s="14" t="s">
        <v>49</v>
      </c>
      <c r="C196" s="14" t="s">
        <v>24</v>
      </c>
      <c r="D196" s="15">
        <v>2800.0</v>
      </c>
      <c r="E196" s="6" t="s">
        <v>65</v>
      </c>
    </row>
    <row r="197">
      <c r="A197" s="14" t="s">
        <v>30</v>
      </c>
      <c r="B197" s="14" t="s">
        <v>49</v>
      </c>
      <c r="C197" s="14" t="s">
        <v>10</v>
      </c>
      <c r="D197" s="15">
        <v>6000.0</v>
      </c>
      <c r="E197" s="6" t="s">
        <v>65</v>
      </c>
    </row>
    <row r="198">
      <c r="A198" s="14" t="s">
        <v>30</v>
      </c>
      <c r="B198" s="14" t="s">
        <v>50</v>
      </c>
      <c r="C198" s="14" t="s">
        <v>18</v>
      </c>
      <c r="D198" s="15">
        <v>700.0</v>
      </c>
      <c r="E198" s="6" t="s">
        <v>65</v>
      </c>
    </row>
    <row r="199">
      <c r="A199" s="14" t="s">
        <v>30</v>
      </c>
      <c r="B199" s="14" t="s">
        <v>50</v>
      </c>
      <c r="C199" s="14" t="s">
        <v>20</v>
      </c>
      <c r="D199" s="15">
        <v>1700.0</v>
      </c>
      <c r="E199" s="6" t="s">
        <v>65</v>
      </c>
    </row>
    <row r="200">
      <c r="A200" s="14" t="s">
        <v>30</v>
      </c>
      <c r="B200" s="14" t="s">
        <v>50</v>
      </c>
      <c r="C200" s="14" t="s">
        <v>24</v>
      </c>
      <c r="D200" s="15">
        <v>3500.0</v>
      </c>
      <c r="E200" s="6" t="s">
        <v>65</v>
      </c>
    </row>
    <row r="201">
      <c r="A201" s="14" t="s">
        <v>30</v>
      </c>
      <c r="B201" s="14" t="s">
        <v>50</v>
      </c>
      <c r="C201" s="14" t="s">
        <v>10</v>
      </c>
      <c r="D201" s="15">
        <v>6000.0</v>
      </c>
      <c r="E201" s="6" t="s">
        <v>65</v>
      </c>
    </row>
    <row r="202">
      <c r="A202" s="14" t="s">
        <v>30</v>
      </c>
      <c r="B202" s="14" t="s">
        <v>11</v>
      </c>
      <c r="C202" s="14" t="s">
        <v>18</v>
      </c>
      <c r="D202" s="15">
        <v>900.0</v>
      </c>
      <c r="E202" s="6" t="s">
        <v>65</v>
      </c>
    </row>
    <row r="203">
      <c r="A203" s="14" t="s">
        <v>30</v>
      </c>
      <c r="B203" s="14" t="s">
        <v>11</v>
      </c>
      <c r="C203" s="14" t="s">
        <v>20</v>
      </c>
      <c r="D203" s="15">
        <v>2000.0</v>
      </c>
      <c r="E203" s="6" t="s">
        <v>65</v>
      </c>
    </row>
    <row r="204">
      <c r="A204" s="14" t="s">
        <v>30</v>
      </c>
      <c r="B204" s="14" t="s">
        <v>11</v>
      </c>
      <c r="C204" s="14" t="s">
        <v>24</v>
      </c>
      <c r="D204" s="15">
        <v>4000.0</v>
      </c>
      <c r="E204" s="6" t="s">
        <v>65</v>
      </c>
    </row>
    <row r="205">
      <c r="A205" s="14" t="s">
        <v>30</v>
      </c>
      <c r="B205" s="14" t="s">
        <v>11</v>
      </c>
      <c r="C205" s="14" t="s">
        <v>10</v>
      </c>
      <c r="D205" s="15">
        <v>8000.0</v>
      </c>
      <c r="E205" s="6" t="s">
        <v>65</v>
      </c>
    </row>
    <row r="206">
      <c r="A206" s="14" t="s">
        <v>30</v>
      </c>
      <c r="B206" s="14" t="s">
        <v>55</v>
      </c>
      <c r="C206" s="14" t="s">
        <v>18</v>
      </c>
      <c r="D206" s="15">
        <v>700.0</v>
      </c>
      <c r="E206" s="6" t="s">
        <v>65</v>
      </c>
    </row>
    <row r="207">
      <c r="A207" s="14" t="s">
        <v>30</v>
      </c>
      <c r="B207" s="14" t="s">
        <v>55</v>
      </c>
      <c r="C207" s="14" t="s">
        <v>20</v>
      </c>
      <c r="D207" s="15">
        <v>1700.0</v>
      </c>
      <c r="E207" s="6" t="s">
        <v>65</v>
      </c>
    </row>
    <row r="208">
      <c r="A208" s="14" t="s">
        <v>30</v>
      </c>
      <c r="B208" s="14" t="s">
        <v>55</v>
      </c>
      <c r="C208" s="14" t="s">
        <v>24</v>
      </c>
      <c r="D208" s="15">
        <v>3000.0</v>
      </c>
      <c r="E208" s="6" t="s">
        <v>65</v>
      </c>
    </row>
    <row r="209">
      <c r="A209" s="14" t="s">
        <v>30</v>
      </c>
      <c r="B209" s="14" t="s">
        <v>55</v>
      </c>
      <c r="C209" s="14" t="s">
        <v>10</v>
      </c>
      <c r="D209" s="15">
        <v>6000.0</v>
      </c>
      <c r="E209" s="6" t="s">
        <v>65</v>
      </c>
    </row>
    <row r="210">
      <c r="A210" s="14" t="s">
        <v>30</v>
      </c>
      <c r="B210" s="14" t="s">
        <v>57</v>
      </c>
      <c r="C210" s="14" t="s">
        <v>18</v>
      </c>
      <c r="D210" s="15">
        <v>900.0</v>
      </c>
      <c r="E210" s="6" t="s">
        <v>65</v>
      </c>
    </row>
    <row r="211">
      <c r="A211" s="14" t="s">
        <v>30</v>
      </c>
      <c r="B211" s="14" t="s">
        <v>57</v>
      </c>
      <c r="C211" s="14" t="s">
        <v>20</v>
      </c>
      <c r="D211" s="15">
        <v>2000.0</v>
      </c>
      <c r="E211" s="6" t="s">
        <v>65</v>
      </c>
    </row>
    <row r="212">
      <c r="A212" s="14" t="s">
        <v>30</v>
      </c>
      <c r="B212" s="14" t="s">
        <v>57</v>
      </c>
      <c r="C212" s="14" t="s">
        <v>24</v>
      </c>
      <c r="D212" s="15">
        <v>4000.0</v>
      </c>
      <c r="E212" s="6" t="s">
        <v>65</v>
      </c>
    </row>
    <row r="213">
      <c r="A213" s="14" t="s">
        <v>30</v>
      </c>
      <c r="B213" s="14" t="s">
        <v>57</v>
      </c>
      <c r="C213" s="14" t="s">
        <v>10</v>
      </c>
      <c r="D213" s="15">
        <v>8000.0</v>
      </c>
      <c r="E213" s="6" t="s">
        <v>65</v>
      </c>
    </row>
    <row r="214">
      <c r="A214" s="14" t="s">
        <v>30</v>
      </c>
      <c r="B214" s="14" t="s">
        <v>58</v>
      </c>
      <c r="C214" s="14" t="s">
        <v>18</v>
      </c>
      <c r="D214" s="15">
        <v>700.0</v>
      </c>
      <c r="E214" s="6" t="s">
        <v>65</v>
      </c>
    </row>
    <row r="215">
      <c r="A215" s="14" t="s">
        <v>30</v>
      </c>
      <c r="B215" s="14" t="s">
        <v>58</v>
      </c>
      <c r="C215" s="14" t="s">
        <v>20</v>
      </c>
      <c r="D215" s="15">
        <v>1600.0</v>
      </c>
      <c r="E215" s="6" t="s">
        <v>65</v>
      </c>
    </row>
    <row r="216">
      <c r="A216" s="14" t="s">
        <v>30</v>
      </c>
      <c r="B216" s="14" t="s">
        <v>58</v>
      </c>
      <c r="C216" s="14" t="s">
        <v>24</v>
      </c>
      <c r="D216" s="15">
        <v>3000.0</v>
      </c>
      <c r="E216" s="6" t="s">
        <v>65</v>
      </c>
    </row>
    <row r="217">
      <c r="A217" s="14" t="s">
        <v>30</v>
      </c>
      <c r="B217" s="14" t="s">
        <v>58</v>
      </c>
      <c r="C217" s="14" t="s">
        <v>10</v>
      </c>
      <c r="D217" s="15">
        <v>6000.0</v>
      </c>
      <c r="E217" s="6" t="s">
        <v>65</v>
      </c>
    </row>
    <row r="218">
      <c r="A218" s="14" t="s">
        <v>30</v>
      </c>
      <c r="B218" s="14" t="s">
        <v>59</v>
      </c>
      <c r="C218" s="14" t="s">
        <v>18</v>
      </c>
      <c r="D218" s="15">
        <v>700.0</v>
      </c>
      <c r="E218" s="6" t="s">
        <v>65</v>
      </c>
    </row>
    <row r="219">
      <c r="A219" s="14" t="s">
        <v>30</v>
      </c>
      <c r="B219" s="14" t="s">
        <v>59</v>
      </c>
      <c r="C219" s="14" t="s">
        <v>20</v>
      </c>
      <c r="D219" s="15">
        <v>1600.0</v>
      </c>
      <c r="E219" s="6" t="s">
        <v>65</v>
      </c>
    </row>
    <row r="220">
      <c r="A220" s="14" t="s">
        <v>30</v>
      </c>
      <c r="B220" s="14" t="s">
        <v>59</v>
      </c>
      <c r="C220" s="14" t="s">
        <v>24</v>
      </c>
      <c r="D220" s="15">
        <v>3000.0</v>
      </c>
      <c r="E220" s="6" t="s">
        <v>65</v>
      </c>
    </row>
    <row r="221">
      <c r="A221" s="14" t="s">
        <v>30</v>
      </c>
      <c r="B221" s="14" t="s">
        <v>59</v>
      </c>
      <c r="C221" s="14" t="s">
        <v>10</v>
      </c>
      <c r="D221" s="15">
        <v>6000.0</v>
      </c>
      <c r="E221" s="6" t="s">
        <v>65</v>
      </c>
    </row>
    <row r="222">
      <c r="A222" s="14" t="s">
        <v>30</v>
      </c>
      <c r="B222" s="14" t="s">
        <v>60</v>
      </c>
      <c r="C222" s="14" t="s">
        <v>18</v>
      </c>
      <c r="D222" s="15">
        <v>700.0</v>
      </c>
      <c r="E222" s="6" t="s">
        <v>65</v>
      </c>
    </row>
    <row r="223">
      <c r="A223" s="14" t="s">
        <v>30</v>
      </c>
      <c r="B223" s="14" t="s">
        <v>60</v>
      </c>
      <c r="C223" s="14" t="s">
        <v>20</v>
      </c>
      <c r="D223" s="15">
        <v>1600.0</v>
      </c>
      <c r="E223" s="6" t="s">
        <v>65</v>
      </c>
    </row>
    <row r="224">
      <c r="A224" s="14" t="s">
        <v>30</v>
      </c>
      <c r="B224" s="14" t="s">
        <v>60</v>
      </c>
      <c r="C224" s="14" t="s">
        <v>24</v>
      </c>
      <c r="D224" s="15">
        <v>3000.0</v>
      </c>
      <c r="E224" s="6" t="s">
        <v>65</v>
      </c>
    </row>
    <row r="225">
      <c r="A225" s="14" t="s">
        <v>30</v>
      </c>
      <c r="B225" s="14" t="s">
        <v>60</v>
      </c>
      <c r="C225" s="14" t="s">
        <v>10</v>
      </c>
      <c r="D225" s="15">
        <v>6000.0</v>
      </c>
      <c r="E225" s="6" t="s">
        <v>65</v>
      </c>
    </row>
    <row r="226">
      <c r="A226" s="14" t="s">
        <v>30</v>
      </c>
      <c r="B226" s="14" t="s">
        <v>61</v>
      </c>
      <c r="C226" s="14" t="s">
        <v>18</v>
      </c>
      <c r="D226" s="15">
        <v>700.0</v>
      </c>
      <c r="E226" s="6" t="s">
        <v>65</v>
      </c>
    </row>
    <row r="227">
      <c r="A227" s="14" t="s">
        <v>30</v>
      </c>
      <c r="B227" s="14" t="s">
        <v>61</v>
      </c>
      <c r="C227" s="14" t="s">
        <v>20</v>
      </c>
      <c r="D227" s="15">
        <v>1600.0</v>
      </c>
      <c r="E227" s="6" t="s">
        <v>65</v>
      </c>
    </row>
    <row r="228">
      <c r="A228" s="14" t="s">
        <v>30</v>
      </c>
      <c r="B228" s="14" t="s">
        <v>61</v>
      </c>
      <c r="C228" s="14" t="s">
        <v>24</v>
      </c>
      <c r="D228" s="15">
        <v>3000.0</v>
      </c>
      <c r="E228" s="6" t="s">
        <v>65</v>
      </c>
    </row>
    <row r="229">
      <c r="A229" s="14" t="s">
        <v>30</v>
      </c>
      <c r="B229" s="14" t="s">
        <v>61</v>
      </c>
      <c r="C229" s="14" t="s">
        <v>10</v>
      </c>
      <c r="D229" s="15">
        <v>6000.0</v>
      </c>
      <c r="E229" s="6" t="s">
        <v>65</v>
      </c>
    </row>
    <row r="230">
      <c r="A230" s="14" t="s">
        <v>30</v>
      </c>
      <c r="B230" s="14" t="s">
        <v>62</v>
      </c>
      <c r="C230" s="14" t="s">
        <v>18</v>
      </c>
      <c r="D230" s="15">
        <v>700.0</v>
      </c>
      <c r="E230" s="6" t="s">
        <v>65</v>
      </c>
    </row>
    <row r="231">
      <c r="A231" s="14" t="s">
        <v>30</v>
      </c>
      <c r="B231" s="14" t="s">
        <v>62</v>
      </c>
      <c r="C231" s="14" t="s">
        <v>20</v>
      </c>
      <c r="D231" s="15">
        <v>1600.0</v>
      </c>
      <c r="E231" s="6" t="s">
        <v>65</v>
      </c>
    </row>
    <row r="232">
      <c r="A232" s="14" t="s">
        <v>30</v>
      </c>
      <c r="B232" s="14" t="s">
        <v>62</v>
      </c>
      <c r="C232" s="14" t="s">
        <v>24</v>
      </c>
      <c r="D232" s="15">
        <v>3000.0</v>
      </c>
      <c r="E232" s="6" t="s">
        <v>65</v>
      </c>
    </row>
    <row r="233">
      <c r="A233" s="14" t="s">
        <v>30</v>
      </c>
      <c r="B233" s="14" t="s">
        <v>62</v>
      </c>
      <c r="C233" s="14" t="s">
        <v>10</v>
      </c>
      <c r="D233" s="15">
        <v>6000.0</v>
      </c>
      <c r="E233" s="6" t="s">
        <v>65</v>
      </c>
    </row>
    <row r="234">
      <c r="A234" s="14" t="s">
        <v>30</v>
      </c>
      <c r="B234" s="14" t="s">
        <v>63</v>
      </c>
      <c r="C234" s="14" t="s">
        <v>18</v>
      </c>
      <c r="D234" s="15">
        <v>600.0</v>
      </c>
      <c r="E234" s="6" t="s">
        <v>65</v>
      </c>
    </row>
    <row r="235">
      <c r="A235" s="14" t="s">
        <v>30</v>
      </c>
      <c r="B235" s="14" t="s">
        <v>63</v>
      </c>
      <c r="C235" s="14" t="s">
        <v>20</v>
      </c>
      <c r="D235" s="15">
        <v>1400.0</v>
      </c>
      <c r="E235" s="6" t="s">
        <v>65</v>
      </c>
    </row>
    <row r="236">
      <c r="A236" s="14" t="s">
        <v>30</v>
      </c>
      <c r="B236" s="14" t="s">
        <v>63</v>
      </c>
      <c r="C236" s="14" t="s">
        <v>24</v>
      </c>
      <c r="D236" s="15">
        <v>2800.0</v>
      </c>
      <c r="E236" s="6" t="s">
        <v>65</v>
      </c>
    </row>
    <row r="237">
      <c r="A237" s="14" t="s">
        <v>30</v>
      </c>
      <c r="B237" s="14" t="s">
        <v>63</v>
      </c>
      <c r="C237" s="14" t="s">
        <v>10</v>
      </c>
      <c r="D237" s="15">
        <v>5500.0</v>
      </c>
      <c r="E237" s="6" t="s">
        <v>65</v>
      </c>
    </row>
    <row r="238">
      <c r="A238" s="14" t="s">
        <v>30</v>
      </c>
      <c r="B238" s="14" t="s">
        <v>64</v>
      </c>
      <c r="C238" s="14" t="s">
        <v>18</v>
      </c>
      <c r="D238" s="15">
        <v>800.0</v>
      </c>
      <c r="E238" s="6" t="s">
        <v>65</v>
      </c>
    </row>
    <row r="239">
      <c r="A239" s="14" t="s">
        <v>30</v>
      </c>
      <c r="B239" s="14" t="s">
        <v>64</v>
      </c>
      <c r="C239" s="14" t="s">
        <v>20</v>
      </c>
      <c r="D239" s="15">
        <v>1800.0</v>
      </c>
      <c r="E239" s="6" t="s">
        <v>65</v>
      </c>
    </row>
    <row r="240">
      <c r="A240" s="14" t="s">
        <v>30</v>
      </c>
      <c r="B240" s="14" t="s">
        <v>64</v>
      </c>
      <c r="C240" s="14" t="s">
        <v>24</v>
      </c>
      <c r="D240" s="15">
        <v>3500.0</v>
      </c>
      <c r="E240" s="6" t="s">
        <v>65</v>
      </c>
    </row>
    <row r="241">
      <c r="A241" s="14" t="s">
        <v>30</v>
      </c>
      <c r="B241" s="14" t="s">
        <v>64</v>
      </c>
      <c r="C241" s="14" t="s">
        <v>10</v>
      </c>
      <c r="D241" s="15">
        <v>7000.0</v>
      </c>
      <c r="E241" s="6" t="s">
        <v>65</v>
      </c>
    </row>
    <row r="242">
      <c r="A242" s="14" t="s">
        <v>29</v>
      </c>
      <c r="B242" s="14" t="s">
        <v>5</v>
      </c>
      <c r="C242" s="14" t="s">
        <v>18</v>
      </c>
      <c r="D242" s="15">
        <v>600.0</v>
      </c>
      <c r="E242" s="6" t="s">
        <v>65</v>
      </c>
    </row>
    <row r="243">
      <c r="A243" s="14" t="s">
        <v>29</v>
      </c>
      <c r="B243" s="14" t="s">
        <v>5</v>
      </c>
      <c r="C243" s="14" t="s">
        <v>20</v>
      </c>
      <c r="D243" s="15">
        <v>1000.0</v>
      </c>
      <c r="E243" s="6" t="s">
        <v>65</v>
      </c>
    </row>
    <row r="244">
      <c r="A244" s="14" t="s">
        <v>29</v>
      </c>
      <c r="B244" s="14" t="s">
        <v>5</v>
      </c>
      <c r="C244" s="14" t="s">
        <v>24</v>
      </c>
      <c r="D244" s="15">
        <v>1800.0</v>
      </c>
      <c r="E244" s="6" t="s">
        <v>65</v>
      </c>
    </row>
    <row r="245">
      <c r="A245" s="14" t="s">
        <v>29</v>
      </c>
      <c r="B245" s="14" t="s">
        <v>5</v>
      </c>
      <c r="C245" s="14" t="s">
        <v>10</v>
      </c>
      <c r="D245" s="15">
        <v>3500.0</v>
      </c>
      <c r="E245" s="6" t="s">
        <v>65</v>
      </c>
    </row>
    <row r="246">
      <c r="A246" s="14" t="s">
        <v>29</v>
      </c>
      <c r="B246" s="14" t="s">
        <v>27</v>
      </c>
      <c r="C246" s="14" t="s">
        <v>18</v>
      </c>
      <c r="D246" s="15">
        <v>450.0</v>
      </c>
      <c r="E246" s="6" t="s">
        <v>65</v>
      </c>
    </row>
    <row r="247">
      <c r="A247" s="14" t="s">
        <v>29</v>
      </c>
      <c r="B247" s="14" t="s">
        <v>27</v>
      </c>
      <c r="C247" s="14" t="s">
        <v>20</v>
      </c>
      <c r="D247" s="15">
        <v>850.0</v>
      </c>
      <c r="E247" s="6" t="s">
        <v>65</v>
      </c>
    </row>
    <row r="248">
      <c r="A248" s="14" t="s">
        <v>29</v>
      </c>
      <c r="B248" s="14" t="s">
        <v>27</v>
      </c>
      <c r="C248" s="14" t="s">
        <v>24</v>
      </c>
      <c r="D248" s="15">
        <v>1500.0</v>
      </c>
      <c r="E248" s="6" t="s">
        <v>65</v>
      </c>
    </row>
    <row r="249">
      <c r="A249" s="14" t="s">
        <v>29</v>
      </c>
      <c r="B249" s="14" t="s">
        <v>27</v>
      </c>
      <c r="C249" s="14" t="s">
        <v>10</v>
      </c>
      <c r="D249" s="15">
        <v>3000.0</v>
      </c>
      <c r="E249" s="6" t="s">
        <v>65</v>
      </c>
    </row>
    <row r="250">
      <c r="A250" s="14" t="s">
        <v>29</v>
      </c>
      <c r="B250" s="14" t="s">
        <v>32</v>
      </c>
      <c r="C250" s="14" t="s">
        <v>18</v>
      </c>
      <c r="D250" s="15">
        <v>450.0</v>
      </c>
      <c r="E250" s="6" t="s">
        <v>65</v>
      </c>
    </row>
    <row r="251">
      <c r="A251" s="14" t="s">
        <v>29</v>
      </c>
      <c r="B251" s="14" t="s">
        <v>32</v>
      </c>
      <c r="C251" s="14" t="s">
        <v>20</v>
      </c>
      <c r="D251" s="15">
        <v>900.0</v>
      </c>
      <c r="E251" s="6" t="s">
        <v>65</v>
      </c>
    </row>
    <row r="252">
      <c r="A252" s="14" t="s">
        <v>29</v>
      </c>
      <c r="B252" s="14" t="s">
        <v>32</v>
      </c>
      <c r="C252" s="14" t="s">
        <v>24</v>
      </c>
      <c r="D252" s="15">
        <v>1600.0</v>
      </c>
      <c r="E252" s="6" t="s">
        <v>65</v>
      </c>
    </row>
    <row r="253">
      <c r="A253" s="14" t="s">
        <v>29</v>
      </c>
      <c r="B253" s="14" t="s">
        <v>32</v>
      </c>
      <c r="C253" s="14" t="s">
        <v>10</v>
      </c>
      <c r="D253" s="15">
        <v>3500.0</v>
      </c>
      <c r="E253" s="6" t="s">
        <v>65</v>
      </c>
    </row>
    <row r="254">
      <c r="A254" s="14" t="s">
        <v>29</v>
      </c>
      <c r="B254" s="14" t="s">
        <v>37</v>
      </c>
      <c r="C254" s="14" t="s">
        <v>18</v>
      </c>
      <c r="D254" s="15">
        <v>400.0</v>
      </c>
      <c r="E254" s="6" t="s">
        <v>65</v>
      </c>
    </row>
    <row r="255">
      <c r="A255" s="14" t="s">
        <v>29</v>
      </c>
      <c r="B255" s="14" t="s">
        <v>37</v>
      </c>
      <c r="C255" s="14" t="s">
        <v>20</v>
      </c>
      <c r="D255" s="15">
        <v>850.0</v>
      </c>
      <c r="E255" s="6" t="s">
        <v>65</v>
      </c>
    </row>
    <row r="256">
      <c r="A256" s="14" t="s">
        <v>29</v>
      </c>
      <c r="B256" s="14" t="s">
        <v>37</v>
      </c>
      <c r="C256" s="14" t="s">
        <v>24</v>
      </c>
      <c r="D256" s="15">
        <v>1500.0</v>
      </c>
      <c r="E256" s="6" t="s">
        <v>65</v>
      </c>
    </row>
    <row r="257">
      <c r="A257" s="14" t="s">
        <v>29</v>
      </c>
      <c r="B257" s="14" t="s">
        <v>37</v>
      </c>
      <c r="C257" s="14" t="s">
        <v>10</v>
      </c>
      <c r="D257" s="15">
        <v>3000.0</v>
      </c>
      <c r="E257" s="6" t="s">
        <v>65</v>
      </c>
    </row>
    <row r="258">
      <c r="A258" s="14" t="s">
        <v>29</v>
      </c>
      <c r="B258" s="14" t="s">
        <v>40</v>
      </c>
      <c r="C258" s="14" t="s">
        <v>18</v>
      </c>
      <c r="D258" s="15">
        <v>350.0</v>
      </c>
      <c r="E258" s="6" t="s">
        <v>65</v>
      </c>
    </row>
    <row r="259">
      <c r="A259" s="14" t="s">
        <v>29</v>
      </c>
      <c r="B259" s="14" t="s">
        <v>40</v>
      </c>
      <c r="C259" s="14" t="s">
        <v>20</v>
      </c>
      <c r="D259" s="15">
        <v>700.0</v>
      </c>
      <c r="E259" s="6" t="s">
        <v>65</v>
      </c>
    </row>
    <row r="260">
      <c r="A260" s="14" t="s">
        <v>29</v>
      </c>
      <c r="B260" s="14" t="s">
        <v>40</v>
      </c>
      <c r="C260" s="14" t="s">
        <v>24</v>
      </c>
      <c r="D260" s="15">
        <v>1300.0</v>
      </c>
      <c r="E260" s="6" t="s">
        <v>65</v>
      </c>
    </row>
    <row r="261">
      <c r="A261" s="14" t="s">
        <v>29</v>
      </c>
      <c r="B261" s="14" t="s">
        <v>40</v>
      </c>
      <c r="C261" s="14" t="s">
        <v>10</v>
      </c>
      <c r="D261" s="15">
        <v>3000.0</v>
      </c>
      <c r="E261" s="6" t="s">
        <v>65</v>
      </c>
    </row>
    <row r="262">
      <c r="A262" s="14" t="s">
        <v>29</v>
      </c>
      <c r="B262" s="14" t="s">
        <v>42</v>
      </c>
      <c r="C262" s="14" t="s">
        <v>18</v>
      </c>
      <c r="D262" s="15">
        <v>400.0</v>
      </c>
      <c r="E262" s="6" t="s">
        <v>65</v>
      </c>
    </row>
    <row r="263">
      <c r="A263" s="14" t="s">
        <v>29</v>
      </c>
      <c r="B263" s="14" t="s">
        <v>42</v>
      </c>
      <c r="C263" s="14" t="s">
        <v>20</v>
      </c>
      <c r="D263" s="15">
        <v>750.0</v>
      </c>
      <c r="E263" s="6" t="s">
        <v>65</v>
      </c>
    </row>
    <row r="264">
      <c r="A264" s="14" t="s">
        <v>29</v>
      </c>
      <c r="B264" s="14" t="s">
        <v>42</v>
      </c>
      <c r="C264" s="14" t="s">
        <v>24</v>
      </c>
      <c r="D264" s="15">
        <v>1300.0</v>
      </c>
      <c r="E264" s="6" t="s">
        <v>65</v>
      </c>
    </row>
    <row r="265">
      <c r="A265" s="14" t="s">
        <v>29</v>
      </c>
      <c r="B265" s="14" t="s">
        <v>42</v>
      </c>
      <c r="C265" s="14" t="s">
        <v>10</v>
      </c>
      <c r="D265" s="15">
        <v>3000.0</v>
      </c>
      <c r="E265" s="6" t="s">
        <v>65</v>
      </c>
    </row>
    <row r="266">
      <c r="A266" s="14" t="s">
        <v>29</v>
      </c>
      <c r="B266" s="14" t="s">
        <v>43</v>
      </c>
      <c r="C266" s="14" t="s">
        <v>18</v>
      </c>
      <c r="D266" s="15">
        <v>350.0</v>
      </c>
      <c r="E266" s="6" t="s">
        <v>65</v>
      </c>
    </row>
    <row r="267">
      <c r="A267" s="14" t="s">
        <v>29</v>
      </c>
      <c r="B267" s="14" t="s">
        <v>43</v>
      </c>
      <c r="C267" s="14" t="s">
        <v>20</v>
      </c>
      <c r="D267" s="15">
        <v>750.0</v>
      </c>
      <c r="E267" s="6" t="s">
        <v>65</v>
      </c>
    </row>
    <row r="268">
      <c r="A268" s="14" t="s">
        <v>29</v>
      </c>
      <c r="B268" s="14" t="s">
        <v>43</v>
      </c>
      <c r="C268" s="14" t="s">
        <v>24</v>
      </c>
      <c r="D268" s="15">
        <v>1500.0</v>
      </c>
      <c r="E268" s="6" t="s">
        <v>65</v>
      </c>
    </row>
    <row r="269">
      <c r="A269" s="14" t="s">
        <v>29</v>
      </c>
      <c r="B269" s="14" t="s">
        <v>43</v>
      </c>
      <c r="C269" s="14" t="s">
        <v>10</v>
      </c>
      <c r="D269" s="15">
        <v>3000.0</v>
      </c>
      <c r="E269" s="6" t="s">
        <v>65</v>
      </c>
    </row>
    <row r="270">
      <c r="A270" s="14" t="s">
        <v>29</v>
      </c>
      <c r="B270" s="14" t="s">
        <v>44</v>
      </c>
      <c r="C270" s="14" t="s">
        <v>18</v>
      </c>
      <c r="D270" s="15">
        <v>400.0</v>
      </c>
      <c r="E270" s="6" t="s">
        <v>65</v>
      </c>
    </row>
    <row r="271">
      <c r="A271" s="14" t="s">
        <v>29</v>
      </c>
      <c r="B271" s="14" t="s">
        <v>44</v>
      </c>
      <c r="C271" s="14" t="s">
        <v>20</v>
      </c>
      <c r="D271" s="15">
        <v>750.0</v>
      </c>
      <c r="E271" s="6" t="s">
        <v>65</v>
      </c>
    </row>
    <row r="272">
      <c r="A272" s="14" t="s">
        <v>29</v>
      </c>
      <c r="B272" s="14" t="s">
        <v>44</v>
      </c>
      <c r="C272" s="14" t="s">
        <v>24</v>
      </c>
      <c r="D272" s="15">
        <v>1500.0</v>
      </c>
      <c r="E272" s="6" t="s">
        <v>65</v>
      </c>
    </row>
    <row r="273">
      <c r="A273" s="14" t="s">
        <v>29</v>
      </c>
      <c r="B273" s="14" t="s">
        <v>44</v>
      </c>
      <c r="C273" s="14" t="s">
        <v>10</v>
      </c>
      <c r="D273" s="15">
        <v>3500.0</v>
      </c>
      <c r="E273" s="6" t="s">
        <v>65</v>
      </c>
    </row>
    <row r="274">
      <c r="A274" s="14" t="s">
        <v>29</v>
      </c>
      <c r="B274" s="14" t="s">
        <v>49</v>
      </c>
      <c r="C274" s="14" t="s">
        <v>18</v>
      </c>
      <c r="D274" s="15">
        <v>250.0</v>
      </c>
      <c r="E274" s="6" t="s">
        <v>65</v>
      </c>
    </row>
    <row r="275">
      <c r="A275" s="14" t="s">
        <v>29</v>
      </c>
      <c r="B275" s="14" t="s">
        <v>49</v>
      </c>
      <c r="C275" s="14" t="s">
        <v>20</v>
      </c>
      <c r="D275" s="15">
        <v>600.0</v>
      </c>
      <c r="E275" s="6" t="s">
        <v>65</v>
      </c>
    </row>
    <row r="276">
      <c r="A276" s="14" t="s">
        <v>29</v>
      </c>
      <c r="B276" s="14" t="s">
        <v>49</v>
      </c>
      <c r="C276" s="14" t="s">
        <v>24</v>
      </c>
      <c r="D276" s="15">
        <v>1500.0</v>
      </c>
      <c r="E276" s="6" t="s">
        <v>65</v>
      </c>
    </row>
    <row r="277">
      <c r="A277" s="14" t="s">
        <v>29</v>
      </c>
      <c r="B277" s="14" t="s">
        <v>49</v>
      </c>
      <c r="C277" s="14" t="s">
        <v>10</v>
      </c>
      <c r="D277" s="15">
        <v>3000.0</v>
      </c>
      <c r="E277" s="6" t="s">
        <v>65</v>
      </c>
    </row>
    <row r="278">
      <c r="A278" s="14" t="s">
        <v>29</v>
      </c>
      <c r="B278" s="14" t="s">
        <v>50</v>
      </c>
      <c r="C278" s="14" t="s">
        <v>18</v>
      </c>
      <c r="D278" s="15">
        <v>350.0</v>
      </c>
      <c r="E278" s="6" t="s">
        <v>65</v>
      </c>
    </row>
    <row r="279">
      <c r="A279" s="14" t="s">
        <v>29</v>
      </c>
      <c r="B279" s="14" t="s">
        <v>50</v>
      </c>
      <c r="C279" s="14" t="s">
        <v>20</v>
      </c>
      <c r="D279" s="15">
        <v>750.0</v>
      </c>
      <c r="E279" s="6" t="s">
        <v>65</v>
      </c>
    </row>
    <row r="280">
      <c r="A280" s="14" t="s">
        <v>29</v>
      </c>
      <c r="B280" s="14" t="s">
        <v>50</v>
      </c>
      <c r="C280" s="14" t="s">
        <v>24</v>
      </c>
      <c r="D280" s="15">
        <v>1400.0</v>
      </c>
      <c r="E280" s="6" t="s">
        <v>65</v>
      </c>
    </row>
    <row r="281">
      <c r="A281" s="14" t="s">
        <v>29</v>
      </c>
      <c r="B281" s="14" t="s">
        <v>50</v>
      </c>
      <c r="C281" s="14" t="s">
        <v>10</v>
      </c>
      <c r="D281" s="15">
        <v>3500.0</v>
      </c>
      <c r="E281" s="6" t="s">
        <v>65</v>
      </c>
    </row>
    <row r="282">
      <c r="A282" s="14" t="s">
        <v>29</v>
      </c>
      <c r="B282" s="14" t="s">
        <v>11</v>
      </c>
      <c r="C282" s="14" t="s">
        <v>18</v>
      </c>
      <c r="D282" s="15">
        <v>400.0</v>
      </c>
      <c r="E282" s="6" t="s">
        <v>65</v>
      </c>
    </row>
    <row r="283">
      <c r="A283" s="14" t="s">
        <v>29</v>
      </c>
      <c r="B283" s="14" t="s">
        <v>11</v>
      </c>
      <c r="C283" s="14" t="s">
        <v>20</v>
      </c>
      <c r="D283" s="15">
        <v>800.0</v>
      </c>
      <c r="E283" s="6" t="s">
        <v>65</v>
      </c>
    </row>
    <row r="284">
      <c r="A284" s="14" t="s">
        <v>29</v>
      </c>
      <c r="B284" s="14" t="s">
        <v>11</v>
      </c>
      <c r="C284" s="14" t="s">
        <v>24</v>
      </c>
      <c r="D284" s="15">
        <v>1600.0</v>
      </c>
      <c r="E284" s="6" t="s">
        <v>65</v>
      </c>
    </row>
    <row r="285">
      <c r="A285" s="14" t="s">
        <v>29</v>
      </c>
      <c r="B285" s="14" t="s">
        <v>11</v>
      </c>
      <c r="C285" s="14" t="s">
        <v>10</v>
      </c>
      <c r="D285" s="15">
        <v>3500.0</v>
      </c>
      <c r="E285" s="6" t="s">
        <v>65</v>
      </c>
    </row>
    <row r="286">
      <c r="A286" s="14" t="s">
        <v>29</v>
      </c>
      <c r="B286" s="14" t="s">
        <v>55</v>
      </c>
      <c r="C286" s="14" t="s">
        <v>18</v>
      </c>
      <c r="D286" s="15">
        <v>350.0</v>
      </c>
      <c r="E286" s="6" t="s">
        <v>65</v>
      </c>
    </row>
    <row r="287">
      <c r="A287" s="14" t="s">
        <v>29</v>
      </c>
      <c r="B287" s="14" t="s">
        <v>55</v>
      </c>
      <c r="C287" s="14" t="s">
        <v>20</v>
      </c>
      <c r="D287" s="15">
        <v>700.0</v>
      </c>
      <c r="E287" s="6" t="s">
        <v>65</v>
      </c>
    </row>
    <row r="288">
      <c r="A288" s="14" t="s">
        <v>29</v>
      </c>
      <c r="B288" s="14" t="s">
        <v>55</v>
      </c>
      <c r="C288" s="14" t="s">
        <v>24</v>
      </c>
      <c r="D288" s="15">
        <v>1500.0</v>
      </c>
      <c r="E288" s="6" t="s">
        <v>65</v>
      </c>
    </row>
    <row r="289">
      <c r="A289" s="14" t="s">
        <v>29</v>
      </c>
      <c r="B289" s="14" t="s">
        <v>55</v>
      </c>
      <c r="C289" s="14" t="s">
        <v>10</v>
      </c>
      <c r="D289" s="15">
        <v>3000.0</v>
      </c>
      <c r="E289" s="6" t="s">
        <v>65</v>
      </c>
    </row>
    <row r="290">
      <c r="A290" s="14" t="s">
        <v>29</v>
      </c>
      <c r="B290" s="14" t="s">
        <v>57</v>
      </c>
      <c r="C290" s="14" t="s">
        <v>18</v>
      </c>
      <c r="D290" s="15">
        <v>350.0</v>
      </c>
      <c r="E290" s="6" t="s">
        <v>65</v>
      </c>
    </row>
    <row r="291">
      <c r="A291" s="14" t="s">
        <v>29</v>
      </c>
      <c r="B291" s="14" t="s">
        <v>57</v>
      </c>
      <c r="C291" s="14" t="s">
        <v>20</v>
      </c>
      <c r="D291" s="15">
        <v>800.0</v>
      </c>
      <c r="E291" s="6" t="s">
        <v>65</v>
      </c>
    </row>
    <row r="292">
      <c r="A292" s="14" t="s">
        <v>29</v>
      </c>
      <c r="B292" s="14" t="s">
        <v>57</v>
      </c>
      <c r="C292" s="14" t="s">
        <v>24</v>
      </c>
      <c r="D292" s="15">
        <v>1600.0</v>
      </c>
      <c r="E292" s="6" t="s">
        <v>65</v>
      </c>
    </row>
    <row r="293">
      <c r="A293" s="14" t="s">
        <v>29</v>
      </c>
      <c r="B293" s="14" t="s">
        <v>57</v>
      </c>
      <c r="C293" s="14" t="s">
        <v>10</v>
      </c>
      <c r="D293" s="15">
        <v>3500.0</v>
      </c>
      <c r="E293" s="6" t="s">
        <v>65</v>
      </c>
    </row>
    <row r="294">
      <c r="A294" s="14" t="s">
        <v>29</v>
      </c>
      <c r="B294" s="14" t="s">
        <v>58</v>
      </c>
      <c r="C294" s="14" t="s">
        <v>18</v>
      </c>
      <c r="D294" s="15">
        <v>350.0</v>
      </c>
      <c r="E294" s="6" t="s">
        <v>65</v>
      </c>
    </row>
    <row r="295">
      <c r="A295" s="14" t="s">
        <v>29</v>
      </c>
      <c r="B295" s="14" t="s">
        <v>58</v>
      </c>
      <c r="C295" s="14" t="s">
        <v>20</v>
      </c>
      <c r="D295" s="15">
        <v>700.0</v>
      </c>
      <c r="E295" s="6" t="s">
        <v>65</v>
      </c>
    </row>
    <row r="296">
      <c r="A296" s="14" t="s">
        <v>29</v>
      </c>
      <c r="B296" s="14" t="s">
        <v>58</v>
      </c>
      <c r="C296" s="14" t="s">
        <v>24</v>
      </c>
      <c r="D296" s="15">
        <v>1500.0</v>
      </c>
      <c r="E296" s="6" t="s">
        <v>65</v>
      </c>
    </row>
    <row r="297">
      <c r="A297" s="14" t="s">
        <v>29</v>
      </c>
      <c r="B297" s="14" t="s">
        <v>58</v>
      </c>
      <c r="C297" s="14" t="s">
        <v>10</v>
      </c>
      <c r="D297" s="15">
        <v>3500.0</v>
      </c>
      <c r="E297" s="6" t="s">
        <v>65</v>
      </c>
    </row>
    <row r="298">
      <c r="A298" s="14" t="s">
        <v>29</v>
      </c>
      <c r="B298" s="14" t="s">
        <v>59</v>
      </c>
      <c r="C298" s="14" t="s">
        <v>18</v>
      </c>
      <c r="D298" s="15">
        <v>350.0</v>
      </c>
      <c r="E298" s="6" t="s">
        <v>65</v>
      </c>
    </row>
    <row r="299">
      <c r="A299" s="14" t="s">
        <v>29</v>
      </c>
      <c r="B299" s="14" t="s">
        <v>59</v>
      </c>
      <c r="C299" s="14" t="s">
        <v>20</v>
      </c>
      <c r="D299" s="15">
        <v>750.0</v>
      </c>
      <c r="E299" s="6" t="s">
        <v>65</v>
      </c>
    </row>
    <row r="300">
      <c r="A300" s="14" t="s">
        <v>29</v>
      </c>
      <c r="B300" s="14" t="s">
        <v>59</v>
      </c>
      <c r="C300" s="14" t="s">
        <v>24</v>
      </c>
      <c r="D300" s="15">
        <v>1600.0</v>
      </c>
      <c r="E300" s="6" t="s">
        <v>65</v>
      </c>
    </row>
    <row r="301">
      <c r="A301" s="14" t="s">
        <v>29</v>
      </c>
      <c r="B301" s="14" t="s">
        <v>59</v>
      </c>
      <c r="C301" s="14" t="s">
        <v>10</v>
      </c>
      <c r="D301" s="15">
        <v>3500.0</v>
      </c>
      <c r="E301" s="6" t="s">
        <v>65</v>
      </c>
    </row>
    <row r="302">
      <c r="A302" s="14" t="s">
        <v>29</v>
      </c>
      <c r="B302" s="14" t="s">
        <v>60</v>
      </c>
      <c r="C302" s="14" t="s">
        <v>18</v>
      </c>
      <c r="D302" s="15">
        <v>300.0</v>
      </c>
      <c r="E302" s="6" t="s">
        <v>65</v>
      </c>
    </row>
    <row r="303">
      <c r="A303" s="14" t="s">
        <v>29</v>
      </c>
      <c r="B303" s="14" t="s">
        <v>60</v>
      </c>
      <c r="C303" s="14" t="s">
        <v>20</v>
      </c>
      <c r="D303" s="15">
        <v>700.0</v>
      </c>
      <c r="E303" s="6" t="s">
        <v>65</v>
      </c>
    </row>
    <row r="304">
      <c r="A304" s="14" t="s">
        <v>29</v>
      </c>
      <c r="B304" s="14" t="s">
        <v>60</v>
      </c>
      <c r="C304" s="14" t="s">
        <v>24</v>
      </c>
      <c r="D304" s="15">
        <v>1500.0</v>
      </c>
      <c r="E304" s="6" t="s">
        <v>65</v>
      </c>
    </row>
    <row r="305">
      <c r="A305" s="14" t="s">
        <v>29</v>
      </c>
      <c r="B305" s="14" t="s">
        <v>60</v>
      </c>
      <c r="C305" s="14" t="s">
        <v>10</v>
      </c>
      <c r="D305" s="15">
        <v>3000.0</v>
      </c>
      <c r="E305" s="6" t="s">
        <v>65</v>
      </c>
    </row>
    <row r="306">
      <c r="A306" s="14" t="s">
        <v>29</v>
      </c>
      <c r="B306" s="14" t="s">
        <v>61</v>
      </c>
      <c r="C306" s="14" t="s">
        <v>18</v>
      </c>
      <c r="D306" s="15">
        <v>300.0</v>
      </c>
      <c r="E306" s="6" t="s">
        <v>65</v>
      </c>
    </row>
    <row r="307">
      <c r="A307" s="14" t="s">
        <v>29</v>
      </c>
      <c r="B307" s="14" t="s">
        <v>61</v>
      </c>
      <c r="C307" s="14" t="s">
        <v>20</v>
      </c>
      <c r="D307" s="15">
        <v>700.0</v>
      </c>
      <c r="E307" s="6" t="s">
        <v>65</v>
      </c>
    </row>
    <row r="308">
      <c r="A308" s="14" t="s">
        <v>29</v>
      </c>
      <c r="B308" s="14" t="s">
        <v>61</v>
      </c>
      <c r="C308" s="14" t="s">
        <v>24</v>
      </c>
      <c r="D308" s="15">
        <v>1400.0</v>
      </c>
      <c r="E308" s="6" t="s">
        <v>65</v>
      </c>
    </row>
    <row r="309">
      <c r="A309" s="14" t="s">
        <v>29</v>
      </c>
      <c r="B309" s="14" t="s">
        <v>61</v>
      </c>
      <c r="C309" s="14" t="s">
        <v>10</v>
      </c>
      <c r="D309" s="15">
        <v>3000.0</v>
      </c>
      <c r="E309" s="6" t="s">
        <v>65</v>
      </c>
    </row>
    <row r="310">
      <c r="A310" s="14" t="s">
        <v>29</v>
      </c>
      <c r="B310" s="14" t="s">
        <v>62</v>
      </c>
      <c r="C310" s="14" t="s">
        <v>18</v>
      </c>
      <c r="D310" s="15">
        <v>300.0</v>
      </c>
      <c r="E310" s="6" t="s">
        <v>65</v>
      </c>
    </row>
    <row r="311">
      <c r="A311" s="14" t="s">
        <v>29</v>
      </c>
      <c r="B311" s="14" t="s">
        <v>62</v>
      </c>
      <c r="C311" s="14" t="s">
        <v>20</v>
      </c>
      <c r="D311" s="15">
        <v>700.0</v>
      </c>
      <c r="E311" s="6" t="s">
        <v>65</v>
      </c>
    </row>
    <row r="312">
      <c r="A312" s="14" t="s">
        <v>29</v>
      </c>
      <c r="B312" s="14" t="s">
        <v>62</v>
      </c>
      <c r="C312" s="14" t="s">
        <v>24</v>
      </c>
      <c r="D312" s="15">
        <v>1400.0</v>
      </c>
      <c r="E312" s="6" t="s">
        <v>65</v>
      </c>
    </row>
    <row r="313">
      <c r="A313" s="14" t="s">
        <v>29</v>
      </c>
      <c r="B313" s="14" t="s">
        <v>62</v>
      </c>
      <c r="C313" s="14" t="s">
        <v>10</v>
      </c>
      <c r="D313" s="15">
        <v>3000.0</v>
      </c>
      <c r="E313" s="6" t="s">
        <v>65</v>
      </c>
    </row>
    <row r="314">
      <c r="A314" s="14" t="s">
        <v>29</v>
      </c>
      <c r="B314" s="14" t="s">
        <v>63</v>
      </c>
      <c r="C314" s="14" t="s">
        <v>18</v>
      </c>
      <c r="D314" s="15">
        <v>600.0</v>
      </c>
      <c r="E314" s="6" t="s">
        <v>65</v>
      </c>
    </row>
    <row r="315">
      <c r="A315" s="14" t="s">
        <v>29</v>
      </c>
      <c r="B315" s="14" t="s">
        <v>63</v>
      </c>
      <c r="C315" s="14" t="s">
        <v>20</v>
      </c>
      <c r="D315" s="15">
        <v>1100.0</v>
      </c>
      <c r="E315" s="6" t="s">
        <v>65</v>
      </c>
    </row>
    <row r="316">
      <c r="A316" s="14" t="s">
        <v>29</v>
      </c>
      <c r="B316" s="14" t="s">
        <v>63</v>
      </c>
      <c r="C316" s="14" t="s">
        <v>24</v>
      </c>
      <c r="D316" s="15">
        <v>1800.0</v>
      </c>
      <c r="E316" s="6" t="s">
        <v>65</v>
      </c>
    </row>
    <row r="317">
      <c r="A317" s="14" t="s">
        <v>29</v>
      </c>
      <c r="B317" s="14" t="s">
        <v>63</v>
      </c>
      <c r="C317" s="14" t="s">
        <v>10</v>
      </c>
      <c r="D317" s="15">
        <v>4000.0</v>
      </c>
      <c r="E317" s="6" t="s">
        <v>65</v>
      </c>
    </row>
    <row r="318">
      <c r="A318" s="14" t="s">
        <v>29</v>
      </c>
      <c r="B318" s="14" t="s">
        <v>64</v>
      </c>
      <c r="C318" s="14" t="s">
        <v>18</v>
      </c>
      <c r="D318" s="15">
        <v>250.0</v>
      </c>
      <c r="E318" s="6" t="s">
        <v>65</v>
      </c>
    </row>
    <row r="319">
      <c r="A319" s="14" t="s">
        <v>29</v>
      </c>
      <c r="B319" s="14" t="s">
        <v>64</v>
      </c>
      <c r="C319" s="14" t="s">
        <v>20</v>
      </c>
      <c r="D319" s="15">
        <v>600.0</v>
      </c>
      <c r="E319" s="6" t="s">
        <v>65</v>
      </c>
    </row>
    <row r="320">
      <c r="A320" s="14" t="s">
        <v>29</v>
      </c>
      <c r="B320" s="14" t="s">
        <v>64</v>
      </c>
      <c r="C320" s="14" t="s">
        <v>24</v>
      </c>
      <c r="D320" s="15">
        <v>1200.0</v>
      </c>
      <c r="E320" s="6" t="s">
        <v>65</v>
      </c>
    </row>
    <row r="321">
      <c r="A321" s="14" t="s">
        <v>29</v>
      </c>
      <c r="B321" s="14" t="s">
        <v>64</v>
      </c>
      <c r="C321" s="14" t="s">
        <v>10</v>
      </c>
      <c r="D321" s="15">
        <v>2500.0</v>
      </c>
      <c r="E321" s="6" t="s">
        <v>65</v>
      </c>
    </row>
    <row r="322">
      <c r="A322" s="16" t="s">
        <v>28</v>
      </c>
      <c r="B322" s="16" t="s">
        <v>5</v>
      </c>
      <c r="C322" s="14" t="s">
        <v>18</v>
      </c>
      <c r="D322" s="17">
        <v>750.0</v>
      </c>
      <c r="E322" s="6" t="s">
        <v>65</v>
      </c>
    </row>
    <row r="323">
      <c r="A323" s="16" t="s">
        <v>28</v>
      </c>
      <c r="B323" s="16" t="s">
        <v>5</v>
      </c>
      <c r="C323" s="14" t="s">
        <v>20</v>
      </c>
      <c r="D323" s="17">
        <v>1200.0</v>
      </c>
      <c r="E323" s="6" t="s">
        <v>65</v>
      </c>
    </row>
    <row r="324">
      <c r="A324" s="16" t="s">
        <v>28</v>
      </c>
      <c r="B324" s="16" t="s">
        <v>5</v>
      </c>
      <c r="C324" s="14" t="s">
        <v>24</v>
      </c>
      <c r="D324" s="17">
        <v>2800.0</v>
      </c>
      <c r="E324" s="6" t="s">
        <v>65</v>
      </c>
    </row>
    <row r="325">
      <c r="A325" s="16" t="s">
        <v>28</v>
      </c>
      <c r="B325" s="16" t="s">
        <v>5</v>
      </c>
      <c r="C325" s="14" t="s">
        <v>10</v>
      </c>
      <c r="D325" s="17">
        <v>5000.0</v>
      </c>
      <c r="E325" s="6" t="s">
        <v>65</v>
      </c>
    </row>
    <row r="326">
      <c r="A326" s="16" t="s">
        <v>28</v>
      </c>
      <c r="B326" s="16" t="s">
        <v>27</v>
      </c>
      <c r="C326" s="14" t="s">
        <v>18</v>
      </c>
      <c r="D326" s="17">
        <v>600.0</v>
      </c>
      <c r="E326" s="6" t="s">
        <v>65</v>
      </c>
    </row>
    <row r="327">
      <c r="A327" s="16" t="s">
        <v>28</v>
      </c>
      <c r="B327" s="16" t="s">
        <v>27</v>
      </c>
      <c r="C327" s="14" t="s">
        <v>20</v>
      </c>
      <c r="D327" s="17">
        <v>1200.0</v>
      </c>
      <c r="E327" s="6" t="s">
        <v>65</v>
      </c>
      <c r="G327" s="28"/>
      <c r="H327" s="16"/>
    </row>
    <row r="328">
      <c r="A328" s="16" t="s">
        <v>28</v>
      </c>
      <c r="B328" s="16" t="s">
        <v>27</v>
      </c>
      <c r="C328" s="14" t="s">
        <v>24</v>
      </c>
      <c r="D328" s="17">
        <v>2000.0</v>
      </c>
      <c r="E328" s="6" t="s">
        <v>65</v>
      </c>
    </row>
    <row r="329">
      <c r="A329" s="16" t="s">
        <v>28</v>
      </c>
      <c r="B329" s="16" t="s">
        <v>27</v>
      </c>
      <c r="C329" s="14" t="s">
        <v>10</v>
      </c>
      <c r="D329" s="17">
        <v>3000.0</v>
      </c>
      <c r="E329" s="6" t="s">
        <v>65</v>
      </c>
    </row>
    <row r="330">
      <c r="A330" s="16" t="s">
        <v>28</v>
      </c>
      <c r="B330" s="16" t="s">
        <v>32</v>
      </c>
      <c r="C330" s="14" t="s">
        <v>18</v>
      </c>
      <c r="D330" s="17">
        <v>750.0</v>
      </c>
      <c r="E330" s="6" t="s">
        <v>65</v>
      </c>
    </row>
    <row r="331">
      <c r="A331" s="16" t="s">
        <v>28</v>
      </c>
      <c r="B331" s="16" t="s">
        <v>32</v>
      </c>
      <c r="C331" s="14" t="s">
        <v>20</v>
      </c>
      <c r="D331" s="17">
        <v>1200.0</v>
      </c>
      <c r="E331" s="6" t="s">
        <v>65</v>
      </c>
    </row>
    <row r="332">
      <c r="A332" s="16" t="s">
        <v>28</v>
      </c>
      <c r="B332" s="16" t="s">
        <v>32</v>
      </c>
      <c r="C332" s="14" t="s">
        <v>24</v>
      </c>
      <c r="D332" s="17">
        <v>2800.0</v>
      </c>
      <c r="E332" s="6" t="s">
        <v>65</v>
      </c>
    </row>
    <row r="333">
      <c r="A333" s="16" t="s">
        <v>28</v>
      </c>
      <c r="B333" s="16" t="s">
        <v>32</v>
      </c>
      <c r="C333" s="14" t="s">
        <v>10</v>
      </c>
      <c r="D333" s="17">
        <v>5000.0</v>
      </c>
      <c r="E333" s="6" t="s">
        <v>65</v>
      </c>
    </row>
    <row r="334">
      <c r="A334" s="16" t="s">
        <v>28</v>
      </c>
      <c r="B334" s="16" t="s">
        <v>37</v>
      </c>
      <c r="C334" s="14" t="s">
        <v>18</v>
      </c>
      <c r="D334" s="17">
        <v>600.0</v>
      </c>
      <c r="E334" s="6" t="s">
        <v>65</v>
      </c>
    </row>
    <row r="335">
      <c r="A335" s="16" t="s">
        <v>28</v>
      </c>
      <c r="B335" s="16" t="s">
        <v>37</v>
      </c>
      <c r="C335" s="14" t="s">
        <v>20</v>
      </c>
      <c r="D335" s="17">
        <v>900.0</v>
      </c>
      <c r="E335" s="6" t="s">
        <v>65</v>
      </c>
    </row>
    <row r="336">
      <c r="A336" s="16" t="s">
        <v>28</v>
      </c>
      <c r="B336" s="16" t="s">
        <v>37</v>
      </c>
      <c r="C336" s="14" t="s">
        <v>24</v>
      </c>
      <c r="D336" s="17">
        <v>1300.0</v>
      </c>
      <c r="E336" s="6" t="s">
        <v>65</v>
      </c>
    </row>
    <row r="337">
      <c r="A337" s="16" t="s">
        <v>28</v>
      </c>
      <c r="B337" s="16" t="s">
        <v>37</v>
      </c>
      <c r="C337" s="14" t="s">
        <v>10</v>
      </c>
      <c r="D337" s="17">
        <v>2000.0</v>
      </c>
      <c r="E337" s="6" t="s">
        <v>65</v>
      </c>
    </row>
    <row r="338">
      <c r="A338" s="16" t="s">
        <v>28</v>
      </c>
      <c r="B338" s="16" t="s">
        <v>40</v>
      </c>
      <c r="C338" s="14" t="s">
        <v>18</v>
      </c>
      <c r="D338" s="17">
        <v>600.0</v>
      </c>
      <c r="E338" s="6" t="s">
        <v>65</v>
      </c>
    </row>
    <row r="339">
      <c r="A339" s="16" t="s">
        <v>28</v>
      </c>
      <c r="B339" s="16" t="s">
        <v>40</v>
      </c>
      <c r="C339" s="14" t="s">
        <v>20</v>
      </c>
      <c r="D339" s="17">
        <v>1000.0</v>
      </c>
      <c r="E339" s="6" t="s">
        <v>65</v>
      </c>
    </row>
    <row r="340">
      <c r="A340" s="16" t="s">
        <v>28</v>
      </c>
      <c r="B340" s="16" t="s">
        <v>40</v>
      </c>
      <c r="C340" s="14" t="s">
        <v>24</v>
      </c>
      <c r="D340" s="17">
        <v>1359.0</v>
      </c>
      <c r="E340" s="6" t="s">
        <v>65</v>
      </c>
    </row>
    <row r="341">
      <c r="A341" s="16" t="s">
        <v>28</v>
      </c>
      <c r="B341" s="16" t="s">
        <v>40</v>
      </c>
      <c r="C341" s="14" t="s">
        <v>10</v>
      </c>
      <c r="D341" s="17">
        <v>2000.0</v>
      </c>
      <c r="E341" s="6" t="s">
        <v>65</v>
      </c>
    </row>
    <row r="342">
      <c r="A342" s="16" t="s">
        <v>28</v>
      </c>
      <c r="B342" s="16" t="s">
        <v>42</v>
      </c>
      <c r="C342" s="14" t="s">
        <v>18</v>
      </c>
      <c r="D342" s="17">
        <v>600.0</v>
      </c>
      <c r="E342" s="6" t="s">
        <v>65</v>
      </c>
    </row>
    <row r="343">
      <c r="A343" s="16" t="s">
        <v>28</v>
      </c>
      <c r="B343" s="16" t="s">
        <v>42</v>
      </c>
      <c r="C343" s="14" t="s">
        <v>20</v>
      </c>
      <c r="D343" s="17">
        <v>1000.0</v>
      </c>
      <c r="E343" s="6" t="s">
        <v>65</v>
      </c>
    </row>
    <row r="344">
      <c r="A344" s="16" t="s">
        <v>28</v>
      </c>
      <c r="B344" s="16" t="s">
        <v>42</v>
      </c>
      <c r="C344" s="14" t="s">
        <v>24</v>
      </c>
      <c r="D344" s="17">
        <v>1500.0</v>
      </c>
      <c r="E344" s="6" t="s">
        <v>65</v>
      </c>
    </row>
    <row r="345">
      <c r="A345" s="16" t="s">
        <v>28</v>
      </c>
      <c r="B345" s="16" t="s">
        <v>42</v>
      </c>
      <c r="C345" s="14" t="s">
        <v>10</v>
      </c>
      <c r="D345" s="17">
        <v>3000.0</v>
      </c>
      <c r="E345" s="6" t="s">
        <v>65</v>
      </c>
    </row>
    <row r="346">
      <c r="A346" s="16" t="s">
        <v>28</v>
      </c>
      <c r="B346" s="16" t="s">
        <v>43</v>
      </c>
      <c r="C346" s="14" t="s">
        <v>18</v>
      </c>
      <c r="D346" s="17">
        <v>800.0</v>
      </c>
      <c r="E346" s="6" t="s">
        <v>65</v>
      </c>
    </row>
    <row r="347">
      <c r="A347" s="16" t="s">
        <v>28</v>
      </c>
      <c r="B347" s="16" t="s">
        <v>43</v>
      </c>
      <c r="C347" s="14" t="s">
        <v>20</v>
      </c>
      <c r="D347" s="17">
        <v>1600.0</v>
      </c>
      <c r="E347" s="6" t="s">
        <v>65</v>
      </c>
    </row>
    <row r="348">
      <c r="A348" s="16" t="s">
        <v>28</v>
      </c>
      <c r="B348" s="16" t="s">
        <v>43</v>
      </c>
      <c r="C348" s="14" t="s">
        <v>24</v>
      </c>
      <c r="D348" s="17">
        <v>2100.0</v>
      </c>
      <c r="E348" s="6" t="s">
        <v>65</v>
      </c>
    </row>
    <row r="349">
      <c r="A349" s="16" t="s">
        <v>28</v>
      </c>
      <c r="B349" s="16" t="s">
        <v>43</v>
      </c>
      <c r="C349" s="14" t="s">
        <v>10</v>
      </c>
      <c r="D349" s="17">
        <v>3000.0</v>
      </c>
      <c r="E349" s="6" t="s">
        <v>65</v>
      </c>
    </row>
    <row r="350">
      <c r="A350" s="16" t="s">
        <v>28</v>
      </c>
      <c r="B350" s="16" t="s">
        <v>44</v>
      </c>
      <c r="C350" s="14" t="s">
        <v>18</v>
      </c>
      <c r="D350" s="17">
        <v>800.0</v>
      </c>
      <c r="E350" s="6" t="s">
        <v>65</v>
      </c>
    </row>
    <row r="351">
      <c r="A351" s="16" t="s">
        <v>28</v>
      </c>
      <c r="B351" s="16" t="s">
        <v>44</v>
      </c>
      <c r="C351" s="14" t="s">
        <v>20</v>
      </c>
      <c r="D351" s="17">
        <v>1400.0</v>
      </c>
      <c r="E351" s="6" t="s">
        <v>65</v>
      </c>
    </row>
    <row r="352">
      <c r="A352" s="16" t="s">
        <v>28</v>
      </c>
      <c r="B352" s="16" t="s">
        <v>44</v>
      </c>
      <c r="C352" s="14" t="s">
        <v>24</v>
      </c>
      <c r="D352" s="17">
        <v>2800.0</v>
      </c>
      <c r="E352" s="6" t="s">
        <v>65</v>
      </c>
    </row>
    <row r="353">
      <c r="A353" s="16" t="s">
        <v>28</v>
      </c>
      <c r="B353" s="16" t="s">
        <v>44</v>
      </c>
      <c r="C353" s="14" t="s">
        <v>10</v>
      </c>
      <c r="D353" s="17">
        <v>5000.0</v>
      </c>
      <c r="E353" s="6" t="s">
        <v>65</v>
      </c>
    </row>
    <row r="354">
      <c r="A354" s="16" t="s">
        <v>28</v>
      </c>
      <c r="B354" s="16" t="s">
        <v>49</v>
      </c>
      <c r="C354" s="14" t="s">
        <v>18</v>
      </c>
      <c r="D354" s="17">
        <v>650.0</v>
      </c>
      <c r="E354" s="6" t="s">
        <v>65</v>
      </c>
    </row>
    <row r="355">
      <c r="A355" s="16" t="s">
        <v>28</v>
      </c>
      <c r="B355" s="16" t="s">
        <v>49</v>
      </c>
      <c r="C355" s="14" t="s">
        <v>20</v>
      </c>
      <c r="D355" s="17">
        <v>1000.0</v>
      </c>
      <c r="E355" s="6" t="s">
        <v>65</v>
      </c>
    </row>
    <row r="356">
      <c r="A356" s="16" t="s">
        <v>28</v>
      </c>
      <c r="B356" s="16" t="s">
        <v>49</v>
      </c>
      <c r="C356" s="14" t="s">
        <v>24</v>
      </c>
      <c r="D356" s="17">
        <v>1300.0</v>
      </c>
      <c r="E356" s="6" t="s">
        <v>65</v>
      </c>
    </row>
    <row r="357">
      <c r="A357" s="16" t="s">
        <v>28</v>
      </c>
      <c r="B357" s="16" t="s">
        <v>49</v>
      </c>
      <c r="C357" s="14" t="s">
        <v>10</v>
      </c>
      <c r="D357" s="17">
        <v>2000.0</v>
      </c>
      <c r="E357" s="6" t="s">
        <v>65</v>
      </c>
    </row>
    <row r="358">
      <c r="A358" s="16" t="s">
        <v>28</v>
      </c>
      <c r="B358" s="16" t="s">
        <v>50</v>
      </c>
      <c r="C358" s="14" t="s">
        <v>18</v>
      </c>
      <c r="D358" s="17">
        <v>700.0</v>
      </c>
      <c r="E358" s="6" t="s">
        <v>65</v>
      </c>
    </row>
    <row r="359">
      <c r="A359" s="16" t="s">
        <v>28</v>
      </c>
      <c r="B359" s="16" t="s">
        <v>50</v>
      </c>
      <c r="C359" s="14" t="s">
        <v>20</v>
      </c>
      <c r="D359" s="17">
        <v>1000.0</v>
      </c>
      <c r="E359" s="6" t="s">
        <v>65</v>
      </c>
    </row>
    <row r="360">
      <c r="A360" s="16" t="s">
        <v>28</v>
      </c>
      <c r="B360" s="16" t="s">
        <v>50</v>
      </c>
      <c r="C360" s="14" t="s">
        <v>24</v>
      </c>
      <c r="D360" s="17">
        <v>2000.0</v>
      </c>
      <c r="E360" s="6" t="s">
        <v>65</v>
      </c>
    </row>
    <row r="361">
      <c r="A361" s="16" t="s">
        <v>28</v>
      </c>
      <c r="B361" s="16" t="s">
        <v>50</v>
      </c>
      <c r="C361" s="14" t="s">
        <v>10</v>
      </c>
      <c r="D361" s="17">
        <v>2500.0</v>
      </c>
      <c r="E361" s="6" t="s">
        <v>65</v>
      </c>
    </row>
    <row r="362">
      <c r="A362" s="16" t="s">
        <v>28</v>
      </c>
      <c r="B362" s="16" t="s">
        <v>11</v>
      </c>
      <c r="C362" s="14" t="s">
        <v>18</v>
      </c>
      <c r="D362" s="17">
        <v>900.0</v>
      </c>
      <c r="E362" s="6" t="s">
        <v>65</v>
      </c>
    </row>
    <row r="363">
      <c r="A363" s="16" t="s">
        <v>28</v>
      </c>
      <c r="B363" s="16" t="s">
        <v>11</v>
      </c>
      <c r="C363" s="14" t="s">
        <v>20</v>
      </c>
      <c r="D363" s="17">
        <v>1500.0</v>
      </c>
      <c r="E363" s="6" t="s">
        <v>65</v>
      </c>
    </row>
    <row r="364">
      <c r="A364" s="16" t="s">
        <v>28</v>
      </c>
      <c r="B364" s="16" t="s">
        <v>11</v>
      </c>
      <c r="C364" s="14" t="s">
        <v>24</v>
      </c>
      <c r="D364" s="17">
        <v>2800.0</v>
      </c>
      <c r="E364" s="6" t="s">
        <v>65</v>
      </c>
    </row>
    <row r="365">
      <c r="A365" s="16" t="s">
        <v>28</v>
      </c>
      <c r="B365" s="16" t="s">
        <v>11</v>
      </c>
      <c r="C365" s="14" t="s">
        <v>10</v>
      </c>
      <c r="D365" s="17">
        <v>5000.0</v>
      </c>
      <c r="E365" s="6" t="s">
        <v>65</v>
      </c>
    </row>
    <row r="366">
      <c r="A366" s="16" t="s">
        <v>28</v>
      </c>
      <c r="B366" s="16" t="s">
        <v>55</v>
      </c>
      <c r="C366" s="14" t="s">
        <v>18</v>
      </c>
      <c r="D366" s="17">
        <v>700.0</v>
      </c>
      <c r="E366" s="6" t="s">
        <v>65</v>
      </c>
    </row>
    <row r="367">
      <c r="A367" s="16" t="s">
        <v>28</v>
      </c>
      <c r="B367" s="16" t="s">
        <v>55</v>
      </c>
      <c r="C367" s="14" t="s">
        <v>20</v>
      </c>
      <c r="D367" s="17">
        <v>1100.0</v>
      </c>
      <c r="E367" s="6" t="s">
        <v>65</v>
      </c>
    </row>
    <row r="368">
      <c r="A368" s="16" t="s">
        <v>28</v>
      </c>
      <c r="B368" s="16" t="s">
        <v>55</v>
      </c>
      <c r="C368" s="14" t="s">
        <v>24</v>
      </c>
      <c r="D368" s="17">
        <v>1800.0</v>
      </c>
      <c r="E368" s="6" t="s">
        <v>65</v>
      </c>
    </row>
    <row r="369">
      <c r="A369" s="16" t="s">
        <v>28</v>
      </c>
      <c r="B369" s="16" t="s">
        <v>55</v>
      </c>
      <c r="C369" s="14" t="s">
        <v>10</v>
      </c>
      <c r="D369" s="17">
        <v>3000.0</v>
      </c>
      <c r="E369" s="6" t="s">
        <v>65</v>
      </c>
    </row>
    <row r="370">
      <c r="A370" s="16" t="s">
        <v>28</v>
      </c>
      <c r="B370" s="16" t="s">
        <v>57</v>
      </c>
      <c r="C370" s="14" t="s">
        <v>18</v>
      </c>
      <c r="D370" s="17">
        <v>1000.0</v>
      </c>
      <c r="E370" s="6" t="s">
        <v>65</v>
      </c>
    </row>
    <row r="371">
      <c r="A371" s="16" t="s">
        <v>28</v>
      </c>
      <c r="B371" s="16" t="s">
        <v>57</v>
      </c>
      <c r="C371" s="14" t="s">
        <v>20</v>
      </c>
      <c r="D371" s="17">
        <v>1500.0</v>
      </c>
      <c r="E371" s="6" t="s">
        <v>65</v>
      </c>
    </row>
    <row r="372">
      <c r="A372" s="16" t="s">
        <v>28</v>
      </c>
      <c r="B372" s="16" t="s">
        <v>57</v>
      </c>
      <c r="C372" s="14" t="s">
        <v>24</v>
      </c>
      <c r="D372" s="17">
        <v>2500.0</v>
      </c>
      <c r="E372" s="6" t="s">
        <v>65</v>
      </c>
    </row>
    <row r="373">
      <c r="A373" s="16" t="s">
        <v>28</v>
      </c>
      <c r="B373" s="16" t="s">
        <v>57</v>
      </c>
      <c r="C373" s="14" t="s">
        <v>10</v>
      </c>
      <c r="D373" s="17">
        <v>5000.0</v>
      </c>
      <c r="E373" s="6" t="s">
        <v>65</v>
      </c>
    </row>
    <row r="374">
      <c r="A374" s="16" t="s">
        <v>28</v>
      </c>
      <c r="B374" s="16" t="s">
        <v>58</v>
      </c>
      <c r="C374" s="14" t="s">
        <v>18</v>
      </c>
      <c r="D374" s="17">
        <v>600.0</v>
      </c>
      <c r="E374" s="6" t="s">
        <v>65</v>
      </c>
    </row>
    <row r="375">
      <c r="A375" s="16" t="s">
        <v>28</v>
      </c>
      <c r="B375" s="16" t="s">
        <v>58</v>
      </c>
      <c r="C375" s="14" t="s">
        <v>20</v>
      </c>
      <c r="D375" s="17">
        <v>1100.0</v>
      </c>
      <c r="E375" s="6" t="s">
        <v>65</v>
      </c>
    </row>
    <row r="376">
      <c r="A376" s="16" t="s">
        <v>28</v>
      </c>
      <c r="B376" s="16" t="s">
        <v>58</v>
      </c>
      <c r="C376" s="14" t="s">
        <v>24</v>
      </c>
      <c r="D376" s="17">
        <v>1600.0</v>
      </c>
      <c r="E376" s="6" t="s">
        <v>65</v>
      </c>
    </row>
    <row r="377">
      <c r="A377" s="16" t="s">
        <v>28</v>
      </c>
      <c r="B377" s="16" t="s">
        <v>58</v>
      </c>
      <c r="C377" s="14" t="s">
        <v>10</v>
      </c>
      <c r="D377" s="17">
        <v>2500.0</v>
      </c>
      <c r="E377" s="6" t="s">
        <v>65</v>
      </c>
    </row>
    <row r="378">
      <c r="A378" s="16" t="s">
        <v>28</v>
      </c>
      <c r="B378" s="16" t="s">
        <v>59</v>
      </c>
      <c r="C378" s="14" t="s">
        <v>18</v>
      </c>
      <c r="D378" s="17">
        <v>700.0</v>
      </c>
      <c r="E378" s="6" t="s">
        <v>65</v>
      </c>
    </row>
    <row r="379">
      <c r="A379" s="16" t="s">
        <v>28</v>
      </c>
      <c r="B379" s="16" t="s">
        <v>59</v>
      </c>
      <c r="C379" s="14" t="s">
        <v>20</v>
      </c>
      <c r="D379" s="17">
        <v>1200.0</v>
      </c>
      <c r="E379" s="6" t="s">
        <v>65</v>
      </c>
    </row>
    <row r="380">
      <c r="A380" s="16" t="s">
        <v>28</v>
      </c>
      <c r="B380" s="16" t="s">
        <v>59</v>
      </c>
      <c r="C380" s="14" t="s">
        <v>24</v>
      </c>
      <c r="D380" s="17">
        <v>2000.0</v>
      </c>
      <c r="E380" s="6" t="s">
        <v>65</v>
      </c>
    </row>
    <row r="381">
      <c r="A381" s="16" t="s">
        <v>28</v>
      </c>
      <c r="B381" s="16" t="s">
        <v>59</v>
      </c>
      <c r="C381" s="14" t="s">
        <v>10</v>
      </c>
      <c r="D381" s="17">
        <v>3500.0</v>
      </c>
      <c r="E381" s="6" t="s">
        <v>65</v>
      </c>
    </row>
    <row r="382">
      <c r="A382" s="16" t="s">
        <v>28</v>
      </c>
      <c r="B382" s="16" t="s">
        <v>60</v>
      </c>
      <c r="C382" s="14" t="s">
        <v>18</v>
      </c>
      <c r="D382" s="17">
        <v>700.0</v>
      </c>
      <c r="E382" s="6" t="s">
        <v>65</v>
      </c>
    </row>
    <row r="383">
      <c r="A383" s="16" t="s">
        <v>28</v>
      </c>
      <c r="B383" s="16" t="s">
        <v>60</v>
      </c>
      <c r="C383" s="14" t="s">
        <v>20</v>
      </c>
      <c r="D383" s="17">
        <v>1000.0</v>
      </c>
      <c r="E383" s="6" t="s">
        <v>65</v>
      </c>
    </row>
    <row r="384">
      <c r="A384" s="16" t="s">
        <v>28</v>
      </c>
      <c r="B384" s="16" t="s">
        <v>60</v>
      </c>
      <c r="C384" s="14" t="s">
        <v>24</v>
      </c>
      <c r="D384" s="17">
        <v>1500.0</v>
      </c>
      <c r="E384" s="6" t="s">
        <v>65</v>
      </c>
    </row>
    <row r="385">
      <c r="A385" s="16" t="s">
        <v>28</v>
      </c>
      <c r="B385" s="16" t="s">
        <v>60</v>
      </c>
      <c r="C385" s="14" t="s">
        <v>10</v>
      </c>
      <c r="D385" s="17">
        <v>2300.0</v>
      </c>
      <c r="E385" s="6" t="s">
        <v>65</v>
      </c>
    </row>
    <row r="386">
      <c r="A386" s="16" t="s">
        <v>28</v>
      </c>
      <c r="B386" s="16" t="s">
        <v>61</v>
      </c>
      <c r="C386" s="14" t="s">
        <v>18</v>
      </c>
      <c r="D386" s="17">
        <v>1000.0</v>
      </c>
      <c r="E386" s="6" t="s">
        <v>65</v>
      </c>
    </row>
    <row r="387">
      <c r="A387" s="16" t="s">
        <v>28</v>
      </c>
      <c r="B387" s="16" t="s">
        <v>61</v>
      </c>
      <c r="C387" s="14" t="s">
        <v>20</v>
      </c>
      <c r="D387" s="17">
        <v>1300.0</v>
      </c>
      <c r="E387" s="6" t="s">
        <v>65</v>
      </c>
    </row>
    <row r="388">
      <c r="A388" s="16" t="s">
        <v>28</v>
      </c>
      <c r="B388" s="16" t="s">
        <v>61</v>
      </c>
      <c r="C388" s="14" t="s">
        <v>24</v>
      </c>
      <c r="D388" s="17">
        <v>1800.0</v>
      </c>
      <c r="E388" s="6" t="s">
        <v>65</v>
      </c>
    </row>
    <row r="389">
      <c r="A389" s="16" t="s">
        <v>28</v>
      </c>
      <c r="B389" s="16" t="s">
        <v>61</v>
      </c>
      <c r="C389" s="14" t="s">
        <v>10</v>
      </c>
      <c r="D389" s="17">
        <v>2500.0</v>
      </c>
      <c r="E389" s="6" t="s">
        <v>65</v>
      </c>
    </row>
    <row r="390">
      <c r="A390" s="16" t="s">
        <v>28</v>
      </c>
      <c r="B390" s="16" t="s">
        <v>62</v>
      </c>
      <c r="C390" s="14" t="s">
        <v>18</v>
      </c>
      <c r="D390" s="17">
        <v>750.0</v>
      </c>
      <c r="E390" s="6" t="s">
        <v>65</v>
      </c>
    </row>
    <row r="391">
      <c r="A391" s="16" t="s">
        <v>28</v>
      </c>
      <c r="B391" s="16" t="s">
        <v>62</v>
      </c>
      <c r="C391" s="14" t="s">
        <v>20</v>
      </c>
      <c r="D391" s="17">
        <v>1100.0</v>
      </c>
      <c r="E391" s="6" t="s">
        <v>65</v>
      </c>
    </row>
    <row r="392">
      <c r="A392" s="16" t="s">
        <v>28</v>
      </c>
      <c r="B392" s="16" t="s">
        <v>62</v>
      </c>
      <c r="C392" s="14" t="s">
        <v>24</v>
      </c>
      <c r="D392" s="17">
        <v>1650.0</v>
      </c>
      <c r="E392" s="6" t="s">
        <v>65</v>
      </c>
    </row>
    <row r="393">
      <c r="A393" s="16" t="s">
        <v>28</v>
      </c>
      <c r="B393" s="16" t="s">
        <v>62</v>
      </c>
      <c r="C393" s="14" t="s">
        <v>10</v>
      </c>
      <c r="D393" s="17">
        <v>2500.0</v>
      </c>
      <c r="E393" s="6" t="s">
        <v>65</v>
      </c>
    </row>
    <row r="394">
      <c r="A394" s="16" t="s">
        <v>28</v>
      </c>
      <c r="B394" s="16" t="s">
        <v>63</v>
      </c>
      <c r="C394" s="14" t="s">
        <v>18</v>
      </c>
      <c r="D394" s="17">
        <v>800.0</v>
      </c>
      <c r="E394" s="6" t="s">
        <v>65</v>
      </c>
    </row>
    <row r="395">
      <c r="A395" s="16" t="s">
        <v>28</v>
      </c>
      <c r="B395" s="16" t="s">
        <v>63</v>
      </c>
      <c r="C395" s="14" t="s">
        <v>20</v>
      </c>
      <c r="D395" s="17">
        <v>1050.0</v>
      </c>
      <c r="E395" s="6" t="s">
        <v>65</v>
      </c>
    </row>
    <row r="396">
      <c r="A396" s="16" t="s">
        <v>28</v>
      </c>
      <c r="B396" s="16" t="s">
        <v>63</v>
      </c>
      <c r="C396" s="14" t="s">
        <v>24</v>
      </c>
      <c r="D396" s="17">
        <v>1600.0</v>
      </c>
      <c r="E396" s="6" t="s">
        <v>65</v>
      </c>
    </row>
    <row r="397">
      <c r="A397" s="16" t="s">
        <v>28</v>
      </c>
      <c r="B397" s="16" t="s">
        <v>63</v>
      </c>
      <c r="C397" s="14" t="s">
        <v>10</v>
      </c>
      <c r="D397" s="17">
        <v>2500.0</v>
      </c>
      <c r="E397" s="6" t="s">
        <v>65</v>
      </c>
    </row>
    <row r="398">
      <c r="A398" s="16" t="s">
        <v>28</v>
      </c>
      <c r="B398" s="16" t="s">
        <v>64</v>
      </c>
      <c r="C398" s="14" t="s">
        <v>18</v>
      </c>
      <c r="D398" s="17">
        <v>800.0</v>
      </c>
      <c r="E398" s="6" t="s">
        <v>65</v>
      </c>
    </row>
    <row r="399">
      <c r="A399" s="16" t="s">
        <v>28</v>
      </c>
      <c r="B399" s="16" t="s">
        <v>64</v>
      </c>
      <c r="C399" s="14" t="s">
        <v>20</v>
      </c>
      <c r="D399" s="17">
        <v>1200.0</v>
      </c>
      <c r="E399" s="6" t="s">
        <v>65</v>
      </c>
    </row>
    <row r="400">
      <c r="A400" s="16" t="s">
        <v>28</v>
      </c>
      <c r="B400" s="16" t="s">
        <v>64</v>
      </c>
      <c r="C400" s="14" t="s">
        <v>24</v>
      </c>
      <c r="D400" s="17">
        <v>1800.0</v>
      </c>
      <c r="E400" s="6" t="s">
        <v>65</v>
      </c>
    </row>
    <row r="401">
      <c r="A401" s="16" t="s">
        <v>28</v>
      </c>
      <c r="B401" s="16" t="s">
        <v>64</v>
      </c>
      <c r="C401" s="14" t="s">
        <v>10</v>
      </c>
      <c r="D401" s="17">
        <v>3000.0</v>
      </c>
      <c r="E401" s="6" t="s">
        <v>65</v>
      </c>
    </row>
    <row r="402">
      <c r="A402" s="14" t="s">
        <v>34</v>
      </c>
      <c r="B402" s="16" t="s">
        <v>5</v>
      </c>
      <c r="C402" s="14" t="s">
        <v>18</v>
      </c>
      <c r="D402" s="29">
        <v>1.0</v>
      </c>
      <c r="E402" s="6" t="s">
        <v>19</v>
      </c>
    </row>
    <row r="403">
      <c r="A403" s="14" t="s">
        <v>34</v>
      </c>
      <c r="B403" s="16" t="s">
        <v>5</v>
      </c>
      <c r="C403" s="14" t="s">
        <v>20</v>
      </c>
      <c r="D403" s="29">
        <v>2.5</v>
      </c>
      <c r="E403" s="6" t="s">
        <v>19</v>
      </c>
    </row>
    <row r="404">
      <c r="A404" s="14" t="s">
        <v>34</v>
      </c>
      <c r="B404" s="16" t="s">
        <v>5</v>
      </c>
      <c r="C404" s="14" t="s">
        <v>24</v>
      </c>
      <c r="D404" s="29">
        <v>4.0</v>
      </c>
      <c r="E404" s="6" t="s">
        <v>19</v>
      </c>
    </row>
    <row r="405">
      <c r="A405" s="14" t="s">
        <v>34</v>
      </c>
      <c r="B405" s="16" t="s">
        <v>5</v>
      </c>
      <c r="C405" s="14" t="s">
        <v>10</v>
      </c>
      <c r="D405" s="29">
        <v>40.0</v>
      </c>
      <c r="E405" s="6" t="s">
        <v>19</v>
      </c>
    </row>
    <row r="406">
      <c r="A406" s="14" t="s">
        <v>34</v>
      </c>
      <c r="B406" s="16" t="s">
        <v>27</v>
      </c>
      <c r="C406" s="14" t="s">
        <v>18</v>
      </c>
      <c r="D406" s="29">
        <v>1.0</v>
      </c>
      <c r="E406" s="6" t="s">
        <v>19</v>
      </c>
    </row>
    <row r="407">
      <c r="A407" s="14" t="s">
        <v>34</v>
      </c>
      <c r="B407" s="16" t="s">
        <v>27</v>
      </c>
      <c r="C407" s="14" t="s">
        <v>20</v>
      </c>
      <c r="D407" s="29">
        <v>2.5</v>
      </c>
      <c r="E407" s="6" t="s">
        <v>19</v>
      </c>
    </row>
    <row r="408">
      <c r="A408" s="14" t="s">
        <v>34</v>
      </c>
      <c r="B408" s="16" t="s">
        <v>27</v>
      </c>
      <c r="C408" s="14" t="s">
        <v>24</v>
      </c>
      <c r="D408" s="29">
        <v>4.0</v>
      </c>
      <c r="E408" s="6" t="s">
        <v>19</v>
      </c>
    </row>
    <row r="409">
      <c r="A409" s="14" t="s">
        <v>34</v>
      </c>
      <c r="B409" s="16" t="s">
        <v>27</v>
      </c>
      <c r="C409" s="14" t="s">
        <v>10</v>
      </c>
      <c r="D409" s="29">
        <v>40.0</v>
      </c>
      <c r="E409" s="6" t="s">
        <v>19</v>
      </c>
    </row>
    <row r="410">
      <c r="A410" s="14" t="s">
        <v>34</v>
      </c>
      <c r="B410" s="16" t="s">
        <v>32</v>
      </c>
      <c r="C410" s="14" t="s">
        <v>18</v>
      </c>
      <c r="D410" s="29">
        <v>1.0</v>
      </c>
      <c r="E410" s="6" t="s">
        <v>19</v>
      </c>
    </row>
    <row r="411">
      <c r="A411" s="14" t="s">
        <v>34</v>
      </c>
      <c r="B411" s="16" t="s">
        <v>32</v>
      </c>
      <c r="C411" s="14" t="s">
        <v>20</v>
      </c>
      <c r="D411" s="29">
        <v>2.5</v>
      </c>
      <c r="E411" s="6" t="s">
        <v>19</v>
      </c>
    </row>
    <row r="412">
      <c r="A412" s="14" t="s">
        <v>34</v>
      </c>
      <c r="B412" s="16" t="s">
        <v>32</v>
      </c>
      <c r="C412" s="14" t="s">
        <v>24</v>
      </c>
      <c r="D412" s="29">
        <v>4.0</v>
      </c>
      <c r="E412" s="6" t="s">
        <v>19</v>
      </c>
    </row>
    <row r="413">
      <c r="A413" s="14" t="s">
        <v>34</v>
      </c>
      <c r="B413" s="16" t="s">
        <v>32</v>
      </c>
      <c r="C413" s="14" t="s">
        <v>10</v>
      </c>
      <c r="D413" s="29">
        <v>40.0</v>
      </c>
      <c r="E413" s="6" t="s">
        <v>19</v>
      </c>
    </row>
    <row r="414">
      <c r="A414" s="14" t="s">
        <v>34</v>
      </c>
      <c r="B414" s="16" t="s">
        <v>37</v>
      </c>
      <c r="C414" s="14" t="s">
        <v>18</v>
      </c>
      <c r="D414" s="29">
        <v>1.0</v>
      </c>
      <c r="E414" s="6" t="s">
        <v>19</v>
      </c>
    </row>
    <row r="415">
      <c r="A415" s="14" t="s">
        <v>34</v>
      </c>
      <c r="B415" s="16" t="s">
        <v>37</v>
      </c>
      <c r="C415" s="14" t="s">
        <v>20</v>
      </c>
      <c r="D415" s="29">
        <v>2.5</v>
      </c>
      <c r="E415" s="6" t="s">
        <v>19</v>
      </c>
    </row>
    <row r="416">
      <c r="A416" s="14" t="s">
        <v>34</v>
      </c>
      <c r="B416" s="16" t="s">
        <v>37</v>
      </c>
      <c r="C416" s="14" t="s">
        <v>24</v>
      </c>
      <c r="D416" s="29">
        <v>4.0</v>
      </c>
      <c r="E416" s="6" t="s">
        <v>19</v>
      </c>
    </row>
    <row r="417">
      <c r="A417" s="14" t="s">
        <v>34</v>
      </c>
      <c r="B417" s="16" t="s">
        <v>37</v>
      </c>
      <c r="C417" s="14" t="s">
        <v>10</v>
      </c>
      <c r="D417" s="29">
        <v>40.0</v>
      </c>
      <c r="E417" s="6" t="s">
        <v>19</v>
      </c>
    </row>
    <row r="418">
      <c r="A418" s="14" t="s">
        <v>34</v>
      </c>
      <c r="B418" s="16" t="s">
        <v>40</v>
      </c>
      <c r="C418" s="14" t="s">
        <v>18</v>
      </c>
      <c r="D418" s="29">
        <v>1.0</v>
      </c>
      <c r="E418" s="6" t="s">
        <v>19</v>
      </c>
    </row>
    <row r="419">
      <c r="A419" s="14" t="s">
        <v>34</v>
      </c>
      <c r="B419" s="16" t="s">
        <v>40</v>
      </c>
      <c r="C419" s="14" t="s">
        <v>20</v>
      </c>
      <c r="D419" s="29">
        <v>2.5</v>
      </c>
      <c r="E419" s="6" t="s">
        <v>19</v>
      </c>
    </row>
    <row r="420">
      <c r="A420" s="14" t="s">
        <v>34</v>
      </c>
      <c r="B420" s="16" t="s">
        <v>40</v>
      </c>
      <c r="C420" s="14" t="s">
        <v>24</v>
      </c>
      <c r="D420" s="29">
        <v>4.0</v>
      </c>
      <c r="E420" s="6" t="s">
        <v>19</v>
      </c>
    </row>
    <row r="421">
      <c r="A421" s="14" t="s">
        <v>34</v>
      </c>
      <c r="B421" s="16" t="s">
        <v>40</v>
      </c>
      <c r="C421" s="14" t="s">
        <v>10</v>
      </c>
      <c r="D421" s="29">
        <v>40.0</v>
      </c>
      <c r="E421" s="6" t="s">
        <v>19</v>
      </c>
    </row>
    <row r="422">
      <c r="A422" s="14" t="s">
        <v>34</v>
      </c>
      <c r="B422" s="16" t="s">
        <v>42</v>
      </c>
      <c r="C422" s="14" t="s">
        <v>18</v>
      </c>
      <c r="D422" s="29">
        <v>1.0</v>
      </c>
      <c r="E422" s="6" t="s">
        <v>19</v>
      </c>
    </row>
    <row r="423">
      <c r="A423" s="14" t="s">
        <v>34</v>
      </c>
      <c r="B423" s="16" t="s">
        <v>42</v>
      </c>
      <c r="C423" s="14" t="s">
        <v>20</v>
      </c>
      <c r="D423" s="29">
        <v>2.5</v>
      </c>
      <c r="E423" s="6" t="s">
        <v>19</v>
      </c>
    </row>
    <row r="424">
      <c r="A424" s="14" t="s">
        <v>34</v>
      </c>
      <c r="B424" s="16" t="s">
        <v>42</v>
      </c>
      <c r="C424" s="14" t="s">
        <v>24</v>
      </c>
      <c r="D424" s="29">
        <v>4.0</v>
      </c>
      <c r="E424" s="6" t="s">
        <v>19</v>
      </c>
    </row>
    <row r="425">
      <c r="A425" s="14" t="s">
        <v>34</v>
      </c>
      <c r="B425" s="16" t="s">
        <v>42</v>
      </c>
      <c r="C425" s="14" t="s">
        <v>10</v>
      </c>
      <c r="D425" s="29">
        <v>40.0</v>
      </c>
      <c r="E425" s="6" t="s">
        <v>19</v>
      </c>
    </row>
    <row r="426">
      <c r="A426" s="14" t="s">
        <v>34</v>
      </c>
      <c r="B426" s="16" t="s">
        <v>43</v>
      </c>
      <c r="C426" s="14" t="s">
        <v>18</v>
      </c>
      <c r="D426" s="29">
        <v>1.0</v>
      </c>
      <c r="E426" s="6" t="s">
        <v>19</v>
      </c>
    </row>
    <row r="427">
      <c r="A427" s="14" t="s">
        <v>34</v>
      </c>
      <c r="B427" s="16" t="s">
        <v>43</v>
      </c>
      <c r="C427" s="14" t="s">
        <v>20</v>
      </c>
      <c r="D427" s="29">
        <v>2.5</v>
      </c>
      <c r="E427" s="6" t="s">
        <v>19</v>
      </c>
    </row>
    <row r="428">
      <c r="A428" s="14" t="s">
        <v>34</v>
      </c>
      <c r="B428" s="16" t="s">
        <v>43</v>
      </c>
      <c r="C428" s="14" t="s">
        <v>24</v>
      </c>
      <c r="D428" s="29">
        <v>4.0</v>
      </c>
      <c r="E428" s="6" t="s">
        <v>19</v>
      </c>
    </row>
    <row r="429">
      <c r="A429" s="14" t="s">
        <v>34</v>
      </c>
      <c r="B429" s="16" t="s">
        <v>43</v>
      </c>
      <c r="C429" s="14" t="s">
        <v>10</v>
      </c>
      <c r="D429" s="29">
        <v>40.0</v>
      </c>
      <c r="E429" s="6" t="s">
        <v>19</v>
      </c>
    </row>
    <row r="430">
      <c r="A430" s="14" t="s">
        <v>34</v>
      </c>
      <c r="B430" s="16" t="s">
        <v>44</v>
      </c>
      <c r="C430" s="14" t="s">
        <v>18</v>
      </c>
      <c r="D430" s="29">
        <v>1.0</v>
      </c>
      <c r="E430" s="6" t="s">
        <v>19</v>
      </c>
    </row>
    <row r="431">
      <c r="A431" s="14" t="s">
        <v>34</v>
      </c>
      <c r="B431" s="16" t="s">
        <v>44</v>
      </c>
      <c r="C431" s="14" t="s">
        <v>20</v>
      </c>
      <c r="D431" s="29">
        <v>2.5</v>
      </c>
      <c r="E431" s="6" t="s">
        <v>19</v>
      </c>
    </row>
    <row r="432">
      <c r="A432" s="14" t="s">
        <v>34</v>
      </c>
      <c r="B432" s="16" t="s">
        <v>44</v>
      </c>
      <c r="C432" s="14" t="s">
        <v>24</v>
      </c>
      <c r="D432" s="29">
        <v>4.0</v>
      </c>
      <c r="E432" s="6" t="s">
        <v>19</v>
      </c>
    </row>
    <row r="433">
      <c r="A433" s="14" t="s">
        <v>34</v>
      </c>
      <c r="B433" s="16" t="s">
        <v>44</v>
      </c>
      <c r="C433" s="14" t="s">
        <v>10</v>
      </c>
      <c r="D433" s="29">
        <v>40.0</v>
      </c>
      <c r="E433" s="6" t="s">
        <v>19</v>
      </c>
    </row>
    <row r="434">
      <c r="A434" s="14" t="s">
        <v>34</v>
      </c>
      <c r="B434" s="16" t="s">
        <v>49</v>
      </c>
      <c r="C434" s="14" t="s">
        <v>18</v>
      </c>
      <c r="D434" s="29">
        <v>1.0</v>
      </c>
      <c r="E434" s="6" t="s">
        <v>19</v>
      </c>
    </row>
    <row r="435">
      <c r="A435" s="14" t="s">
        <v>34</v>
      </c>
      <c r="B435" s="16" t="s">
        <v>49</v>
      </c>
      <c r="C435" s="14" t="s">
        <v>20</v>
      </c>
      <c r="D435" s="29">
        <v>2.5</v>
      </c>
      <c r="E435" s="6" t="s">
        <v>19</v>
      </c>
    </row>
    <row r="436">
      <c r="A436" s="14" t="s">
        <v>34</v>
      </c>
      <c r="B436" s="16" t="s">
        <v>49</v>
      </c>
      <c r="C436" s="14" t="s">
        <v>24</v>
      </c>
      <c r="D436" s="29">
        <v>4.0</v>
      </c>
      <c r="E436" s="6" t="s">
        <v>19</v>
      </c>
    </row>
    <row r="437">
      <c r="A437" s="14" t="s">
        <v>34</v>
      </c>
      <c r="B437" s="16" t="s">
        <v>49</v>
      </c>
      <c r="C437" s="14" t="s">
        <v>10</v>
      </c>
      <c r="D437" s="29">
        <v>40.0</v>
      </c>
      <c r="E437" s="6" t="s">
        <v>19</v>
      </c>
    </row>
    <row r="438">
      <c r="A438" s="14" t="s">
        <v>34</v>
      </c>
      <c r="B438" s="16" t="s">
        <v>50</v>
      </c>
      <c r="C438" s="14" t="s">
        <v>18</v>
      </c>
      <c r="D438" s="29">
        <v>1.0</v>
      </c>
      <c r="E438" s="6" t="s">
        <v>19</v>
      </c>
    </row>
    <row r="439">
      <c r="A439" s="14" t="s">
        <v>34</v>
      </c>
      <c r="B439" s="16" t="s">
        <v>50</v>
      </c>
      <c r="C439" s="14" t="s">
        <v>20</v>
      </c>
      <c r="D439" s="29">
        <v>2.5</v>
      </c>
      <c r="E439" s="6" t="s">
        <v>19</v>
      </c>
    </row>
    <row r="440">
      <c r="A440" s="14" t="s">
        <v>34</v>
      </c>
      <c r="B440" s="16" t="s">
        <v>50</v>
      </c>
      <c r="C440" s="14" t="s">
        <v>24</v>
      </c>
      <c r="D440" s="29">
        <v>4.0</v>
      </c>
      <c r="E440" s="6" t="s">
        <v>19</v>
      </c>
    </row>
    <row r="441">
      <c r="A441" s="14" t="s">
        <v>34</v>
      </c>
      <c r="B441" s="16" t="s">
        <v>50</v>
      </c>
      <c r="C441" s="14" t="s">
        <v>10</v>
      </c>
      <c r="D441" s="29">
        <v>40.0</v>
      </c>
      <c r="E441" s="6" t="s">
        <v>19</v>
      </c>
    </row>
    <row r="442">
      <c r="A442" s="14" t="s">
        <v>34</v>
      </c>
      <c r="B442" s="16" t="s">
        <v>11</v>
      </c>
      <c r="C442" s="14" t="s">
        <v>18</v>
      </c>
      <c r="D442" s="29">
        <v>1.0</v>
      </c>
      <c r="E442" s="6" t="s">
        <v>19</v>
      </c>
    </row>
    <row r="443">
      <c r="A443" s="14" t="s">
        <v>34</v>
      </c>
      <c r="B443" s="16" t="s">
        <v>11</v>
      </c>
      <c r="C443" s="14" t="s">
        <v>20</v>
      </c>
      <c r="D443" s="29">
        <v>2.5</v>
      </c>
      <c r="E443" s="6" t="s">
        <v>19</v>
      </c>
    </row>
    <row r="444">
      <c r="A444" s="14" t="s">
        <v>34</v>
      </c>
      <c r="B444" s="16" t="s">
        <v>11</v>
      </c>
      <c r="C444" s="14" t="s">
        <v>24</v>
      </c>
      <c r="D444" s="29">
        <v>4.0</v>
      </c>
      <c r="E444" s="6" t="s">
        <v>19</v>
      </c>
    </row>
    <row r="445">
      <c r="A445" s="14" t="s">
        <v>34</v>
      </c>
      <c r="B445" s="16" t="s">
        <v>11</v>
      </c>
      <c r="C445" s="14" t="s">
        <v>10</v>
      </c>
      <c r="D445" s="29">
        <v>40.0</v>
      </c>
      <c r="E445" s="6" t="s">
        <v>19</v>
      </c>
    </row>
    <row r="446">
      <c r="A446" s="14" t="s">
        <v>34</v>
      </c>
      <c r="B446" s="16" t="s">
        <v>55</v>
      </c>
      <c r="C446" s="14" t="s">
        <v>18</v>
      </c>
      <c r="D446" s="29">
        <v>1.0</v>
      </c>
      <c r="E446" s="6" t="s">
        <v>19</v>
      </c>
    </row>
    <row r="447">
      <c r="A447" s="14" t="s">
        <v>34</v>
      </c>
      <c r="B447" s="16" t="s">
        <v>55</v>
      </c>
      <c r="C447" s="14" t="s">
        <v>20</v>
      </c>
      <c r="D447" s="29">
        <v>2.5</v>
      </c>
      <c r="E447" s="6" t="s">
        <v>19</v>
      </c>
    </row>
    <row r="448">
      <c r="A448" s="14" t="s">
        <v>34</v>
      </c>
      <c r="B448" s="16" t="s">
        <v>55</v>
      </c>
      <c r="C448" s="14" t="s">
        <v>24</v>
      </c>
      <c r="D448" s="29">
        <v>4.0</v>
      </c>
      <c r="E448" s="6" t="s">
        <v>19</v>
      </c>
    </row>
    <row r="449">
      <c r="A449" s="14" t="s">
        <v>34</v>
      </c>
      <c r="B449" s="16" t="s">
        <v>55</v>
      </c>
      <c r="C449" s="14" t="s">
        <v>10</v>
      </c>
      <c r="D449" s="29">
        <v>40.0</v>
      </c>
      <c r="E449" s="6" t="s">
        <v>19</v>
      </c>
    </row>
    <row r="450">
      <c r="A450" s="14" t="s">
        <v>34</v>
      </c>
      <c r="B450" s="16" t="s">
        <v>57</v>
      </c>
      <c r="C450" s="14" t="s">
        <v>18</v>
      </c>
      <c r="D450" s="29">
        <v>1.0</v>
      </c>
      <c r="E450" s="6" t="s">
        <v>19</v>
      </c>
    </row>
    <row r="451">
      <c r="A451" s="14" t="s">
        <v>34</v>
      </c>
      <c r="B451" s="16" t="s">
        <v>57</v>
      </c>
      <c r="C451" s="14" t="s">
        <v>20</v>
      </c>
      <c r="D451" s="29">
        <v>2.5</v>
      </c>
      <c r="E451" s="6" t="s">
        <v>19</v>
      </c>
    </row>
    <row r="452">
      <c r="A452" s="14" t="s">
        <v>34</v>
      </c>
      <c r="B452" s="16" t="s">
        <v>57</v>
      </c>
      <c r="C452" s="14" t="s">
        <v>24</v>
      </c>
      <c r="D452" s="29">
        <v>4.0</v>
      </c>
      <c r="E452" s="6" t="s">
        <v>19</v>
      </c>
    </row>
    <row r="453">
      <c r="A453" s="14" t="s">
        <v>34</v>
      </c>
      <c r="B453" s="16" t="s">
        <v>57</v>
      </c>
      <c r="C453" s="14" t="s">
        <v>10</v>
      </c>
      <c r="D453" s="29">
        <v>40.0</v>
      </c>
      <c r="E453" s="6" t="s">
        <v>19</v>
      </c>
    </row>
    <row r="454">
      <c r="A454" s="14" t="s">
        <v>34</v>
      </c>
      <c r="B454" s="16" t="s">
        <v>58</v>
      </c>
      <c r="C454" s="14" t="s">
        <v>18</v>
      </c>
      <c r="D454" s="29">
        <v>1.0</v>
      </c>
      <c r="E454" s="6" t="s">
        <v>19</v>
      </c>
    </row>
    <row r="455">
      <c r="A455" s="14" t="s">
        <v>34</v>
      </c>
      <c r="B455" s="16" t="s">
        <v>58</v>
      </c>
      <c r="C455" s="14" t="s">
        <v>20</v>
      </c>
      <c r="D455" s="29">
        <v>2.5</v>
      </c>
      <c r="E455" s="6" t="s">
        <v>19</v>
      </c>
    </row>
    <row r="456">
      <c r="A456" s="14" t="s">
        <v>34</v>
      </c>
      <c r="B456" s="16" t="s">
        <v>58</v>
      </c>
      <c r="C456" s="14" t="s">
        <v>24</v>
      </c>
      <c r="D456" s="29">
        <v>4.0</v>
      </c>
      <c r="E456" s="6" t="s">
        <v>19</v>
      </c>
    </row>
    <row r="457">
      <c r="A457" s="14" t="s">
        <v>34</v>
      </c>
      <c r="B457" s="16" t="s">
        <v>58</v>
      </c>
      <c r="C457" s="14" t="s">
        <v>10</v>
      </c>
      <c r="D457" s="29">
        <v>40.0</v>
      </c>
      <c r="E457" s="6" t="s">
        <v>19</v>
      </c>
    </row>
    <row r="458">
      <c r="A458" s="14" t="s">
        <v>34</v>
      </c>
      <c r="B458" s="16" t="s">
        <v>59</v>
      </c>
      <c r="C458" s="14" t="s">
        <v>18</v>
      </c>
      <c r="D458" s="29">
        <v>1.0</v>
      </c>
      <c r="E458" s="6" t="s">
        <v>19</v>
      </c>
    </row>
    <row r="459">
      <c r="A459" s="14" t="s">
        <v>34</v>
      </c>
      <c r="B459" s="16" t="s">
        <v>59</v>
      </c>
      <c r="C459" s="14" t="s">
        <v>20</v>
      </c>
      <c r="D459" s="29">
        <v>2.5</v>
      </c>
      <c r="E459" s="6" t="s">
        <v>19</v>
      </c>
    </row>
    <row r="460">
      <c r="A460" s="14" t="s">
        <v>34</v>
      </c>
      <c r="B460" s="16" t="s">
        <v>59</v>
      </c>
      <c r="C460" s="14" t="s">
        <v>24</v>
      </c>
      <c r="D460" s="29">
        <v>4.0</v>
      </c>
      <c r="E460" s="6" t="s">
        <v>19</v>
      </c>
    </row>
    <row r="461">
      <c r="A461" s="14" t="s">
        <v>34</v>
      </c>
      <c r="B461" s="16" t="s">
        <v>59</v>
      </c>
      <c r="C461" s="14" t="s">
        <v>10</v>
      </c>
      <c r="D461" s="29">
        <v>40.0</v>
      </c>
      <c r="E461" s="6" t="s">
        <v>19</v>
      </c>
    </row>
    <row r="462">
      <c r="A462" s="14" t="s">
        <v>34</v>
      </c>
      <c r="B462" s="16" t="s">
        <v>60</v>
      </c>
      <c r="C462" s="14" t="s">
        <v>18</v>
      </c>
      <c r="D462" s="29">
        <v>1.0</v>
      </c>
      <c r="E462" s="6" t="s">
        <v>19</v>
      </c>
    </row>
    <row r="463">
      <c r="A463" s="14" t="s">
        <v>34</v>
      </c>
      <c r="B463" s="16" t="s">
        <v>60</v>
      </c>
      <c r="C463" s="14" t="s">
        <v>20</v>
      </c>
      <c r="D463" s="29">
        <v>2.5</v>
      </c>
      <c r="E463" s="6" t="s">
        <v>19</v>
      </c>
    </row>
    <row r="464">
      <c r="A464" s="14" t="s">
        <v>34</v>
      </c>
      <c r="B464" s="16" t="s">
        <v>60</v>
      </c>
      <c r="C464" s="14" t="s">
        <v>24</v>
      </c>
      <c r="D464" s="29">
        <v>4.0</v>
      </c>
      <c r="E464" s="6" t="s">
        <v>19</v>
      </c>
    </row>
    <row r="465">
      <c r="A465" s="14" t="s">
        <v>34</v>
      </c>
      <c r="B465" s="16" t="s">
        <v>60</v>
      </c>
      <c r="C465" s="14" t="s">
        <v>10</v>
      </c>
      <c r="D465" s="29">
        <v>40.0</v>
      </c>
      <c r="E465" s="6" t="s">
        <v>19</v>
      </c>
    </row>
    <row r="466">
      <c r="A466" s="14" t="s">
        <v>34</v>
      </c>
      <c r="B466" s="16" t="s">
        <v>61</v>
      </c>
      <c r="C466" s="14" t="s">
        <v>18</v>
      </c>
      <c r="D466" s="29">
        <v>1.0</v>
      </c>
      <c r="E466" s="6" t="s">
        <v>19</v>
      </c>
    </row>
    <row r="467">
      <c r="A467" s="14" t="s">
        <v>34</v>
      </c>
      <c r="B467" s="16" t="s">
        <v>61</v>
      </c>
      <c r="C467" s="14" t="s">
        <v>20</v>
      </c>
      <c r="D467" s="29">
        <v>2.5</v>
      </c>
      <c r="E467" s="6" t="s">
        <v>19</v>
      </c>
    </row>
    <row r="468">
      <c r="A468" s="14" t="s">
        <v>34</v>
      </c>
      <c r="B468" s="16" t="s">
        <v>61</v>
      </c>
      <c r="C468" s="14" t="s">
        <v>24</v>
      </c>
      <c r="D468" s="29">
        <v>4.0</v>
      </c>
      <c r="E468" s="6" t="s">
        <v>19</v>
      </c>
    </row>
    <row r="469">
      <c r="A469" s="14" t="s">
        <v>34</v>
      </c>
      <c r="B469" s="16" t="s">
        <v>61</v>
      </c>
      <c r="C469" s="14" t="s">
        <v>10</v>
      </c>
      <c r="D469" s="29">
        <v>40.0</v>
      </c>
      <c r="E469" s="6" t="s">
        <v>19</v>
      </c>
    </row>
    <row r="470">
      <c r="A470" s="14" t="s">
        <v>34</v>
      </c>
      <c r="B470" s="16" t="s">
        <v>62</v>
      </c>
      <c r="C470" s="14" t="s">
        <v>18</v>
      </c>
      <c r="D470" s="29">
        <v>1.0</v>
      </c>
      <c r="E470" s="6" t="s">
        <v>19</v>
      </c>
    </row>
    <row r="471">
      <c r="A471" s="14" t="s">
        <v>34</v>
      </c>
      <c r="B471" s="16" t="s">
        <v>62</v>
      </c>
      <c r="C471" s="14" t="s">
        <v>20</v>
      </c>
      <c r="D471" s="29">
        <v>2.5</v>
      </c>
      <c r="E471" s="6" t="s">
        <v>19</v>
      </c>
    </row>
    <row r="472">
      <c r="A472" s="14" t="s">
        <v>34</v>
      </c>
      <c r="B472" s="16" t="s">
        <v>62</v>
      </c>
      <c r="C472" s="14" t="s">
        <v>24</v>
      </c>
      <c r="D472" s="29">
        <v>4.0</v>
      </c>
      <c r="E472" s="6" t="s">
        <v>19</v>
      </c>
    </row>
    <row r="473">
      <c r="A473" s="14" t="s">
        <v>34</v>
      </c>
      <c r="B473" s="16" t="s">
        <v>62</v>
      </c>
      <c r="C473" s="14" t="s">
        <v>10</v>
      </c>
      <c r="D473" s="29">
        <v>40.0</v>
      </c>
      <c r="E473" s="6" t="s">
        <v>19</v>
      </c>
    </row>
    <row r="474">
      <c r="A474" s="14" t="s">
        <v>34</v>
      </c>
      <c r="B474" s="16" t="s">
        <v>63</v>
      </c>
      <c r="C474" s="14" t="s">
        <v>18</v>
      </c>
      <c r="D474" s="29">
        <v>1.0</v>
      </c>
      <c r="E474" s="6" t="s">
        <v>19</v>
      </c>
    </row>
    <row r="475">
      <c r="A475" s="14" t="s">
        <v>34</v>
      </c>
      <c r="B475" s="16" t="s">
        <v>63</v>
      </c>
      <c r="C475" s="14" t="s">
        <v>20</v>
      </c>
      <c r="D475" s="29">
        <v>2.5</v>
      </c>
      <c r="E475" s="6" t="s">
        <v>19</v>
      </c>
    </row>
    <row r="476">
      <c r="A476" s="14" t="s">
        <v>34</v>
      </c>
      <c r="B476" s="16" t="s">
        <v>63</v>
      </c>
      <c r="C476" s="14" t="s">
        <v>24</v>
      </c>
      <c r="D476" s="29">
        <v>4.0</v>
      </c>
      <c r="E476" s="6" t="s">
        <v>19</v>
      </c>
    </row>
    <row r="477">
      <c r="A477" s="14" t="s">
        <v>34</v>
      </c>
      <c r="B477" s="16" t="s">
        <v>63</v>
      </c>
      <c r="C477" s="14" t="s">
        <v>10</v>
      </c>
      <c r="D477" s="29">
        <v>40.0</v>
      </c>
      <c r="E477" s="6" t="s">
        <v>19</v>
      </c>
    </row>
    <row r="478">
      <c r="A478" s="14" t="s">
        <v>34</v>
      </c>
      <c r="B478" s="16" t="s">
        <v>64</v>
      </c>
      <c r="C478" s="14" t="s">
        <v>18</v>
      </c>
      <c r="D478" s="29">
        <v>1.0</v>
      </c>
      <c r="E478" s="6" t="s">
        <v>19</v>
      </c>
    </row>
    <row r="479">
      <c r="A479" s="14" t="s">
        <v>34</v>
      </c>
      <c r="B479" s="16" t="s">
        <v>64</v>
      </c>
      <c r="C479" s="14" t="s">
        <v>20</v>
      </c>
      <c r="D479" s="29">
        <v>2.5</v>
      </c>
      <c r="E479" s="6" t="s">
        <v>19</v>
      </c>
    </row>
    <row r="480">
      <c r="A480" s="14" t="s">
        <v>34</v>
      </c>
      <c r="B480" s="16" t="s">
        <v>64</v>
      </c>
      <c r="C480" s="14" t="s">
        <v>24</v>
      </c>
      <c r="D480" s="29">
        <v>4.0</v>
      </c>
      <c r="E480" s="6" t="s">
        <v>19</v>
      </c>
    </row>
    <row r="481">
      <c r="A481" s="14" t="s">
        <v>34</v>
      </c>
      <c r="B481" s="16" t="s">
        <v>64</v>
      </c>
      <c r="C481" s="14" t="s">
        <v>10</v>
      </c>
      <c r="D481" s="29">
        <v>40.0</v>
      </c>
      <c r="E481" s="6" t="s">
        <v>19</v>
      </c>
    </row>
    <row r="482">
      <c r="A482" s="14" t="s">
        <v>31</v>
      </c>
      <c r="B482" s="16" t="s">
        <v>5</v>
      </c>
      <c r="C482" s="14" t="s">
        <v>18</v>
      </c>
      <c r="D482" s="29">
        <v>300.0</v>
      </c>
      <c r="E482" s="6" t="s">
        <v>65</v>
      </c>
    </row>
    <row r="483">
      <c r="A483" s="14" t="s">
        <v>31</v>
      </c>
      <c r="B483" s="16" t="s">
        <v>5</v>
      </c>
      <c r="C483" s="14" t="s">
        <v>20</v>
      </c>
      <c r="D483" s="29">
        <v>800.0</v>
      </c>
      <c r="E483" s="6" t="s">
        <v>65</v>
      </c>
    </row>
    <row r="484">
      <c r="A484" s="14" t="s">
        <v>31</v>
      </c>
      <c r="B484" s="16" t="s">
        <v>5</v>
      </c>
      <c r="C484" s="14" t="s">
        <v>24</v>
      </c>
      <c r="D484" s="29">
        <v>1500.0</v>
      </c>
      <c r="E484" s="6" t="s">
        <v>65</v>
      </c>
    </row>
    <row r="485">
      <c r="A485" s="14" t="s">
        <v>31</v>
      </c>
      <c r="B485" s="16" t="s">
        <v>5</v>
      </c>
      <c r="C485" s="14" t="s">
        <v>10</v>
      </c>
      <c r="D485" s="29">
        <v>3500.0</v>
      </c>
      <c r="E485" s="6" t="s">
        <v>65</v>
      </c>
    </row>
    <row r="486">
      <c r="A486" s="14" t="s">
        <v>31</v>
      </c>
      <c r="B486" s="16" t="s">
        <v>27</v>
      </c>
      <c r="C486" s="14" t="s">
        <v>18</v>
      </c>
      <c r="D486" s="29">
        <v>300.0</v>
      </c>
      <c r="E486" s="6" t="s">
        <v>65</v>
      </c>
    </row>
    <row r="487">
      <c r="A487" s="14" t="s">
        <v>31</v>
      </c>
      <c r="B487" s="16" t="s">
        <v>27</v>
      </c>
      <c r="C487" s="14" t="s">
        <v>20</v>
      </c>
      <c r="D487" s="29">
        <v>800.0</v>
      </c>
      <c r="E487" s="6" t="s">
        <v>65</v>
      </c>
    </row>
    <row r="488">
      <c r="A488" s="14" t="s">
        <v>31</v>
      </c>
      <c r="B488" s="16" t="s">
        <v>27</v>
      </c>
      <c r="C488" s="14" t="s">
        <v>24</v>
      </c>
      <c r="D488" s="29">
        <v>1500.0</v>
      </c>
      <c r="E488" s="6" t="s">
        <v>65</v>
      </c>
    </row>
    <row r="489">
      <c r="A489" s="14" t="s">
        <v>31</v>
      </c>
      <c r="B489" s="16" t="s">
        <v>27</v>
      </c>
      <c r="C489" s="14" t="s">
        <v>10</v>
      </c>
      <c r="D489" s="29">
        <v>3500.0</v>
      </c>
      <c r="E489" s="6" t="s">
        <v>65</v>
      </c>
    </row>
    <row r="490">
      <c r="A490" s="14" t="s">
        <v>31</v>
      </c>
      <c r="B490" s="16" t="s">
        <v>32</v>
      </c>
      <c r="C490" s="14" t="s">
        <v>18</v>
      </c>
      <c r="D490" s="29">
        <v>300.0</v>
      </c>
      <c r="E490" s="6" t="s">
        <v>65</v>
      </c>
    </row>
    <row r="491">
      <c r="A491" s="14" t="s">
        <v>31</v>
      </c>
      <c r="B491" s="16" t="s">
        <v>32</v>
      </c>
      <c r="C491" s="14" t="s">
        <v>20</v>
      </c>
      <c r="D491" s="29">
        <v>800.0</v>
      </c>
      <c r="E491" s="6" t="s">
        <v>65</v>
      </c>
    </row>
    <row r="492">
      <c r="A492" s="14" t="s">
        <v>31</v>
      </c>
      <c r="B492" s="16" t="s">
        <v>32</v>
      </c>
      <c r="C492" s="14" t="s">
        <v>24</v>
      </c>
      <c r="D492" s="29">
        <v>1500.0</v>
      </c>
      <c r="E492" s="6" t="s">
        <v>65</v>
      </c>
    </row>
    <row r="493">
      <c r="A493" s="14" t="s">
        <v>31</v>
      </c>
      <c r="B493" s="16" t="s">
        <v>32</v>
      </c>
      <c r="C493" s="14" t="s">
        <v>10</v>
      </c>
      <c r="D493" s="29">
        <v>3500.0</v>
      </c>
      <c r="E493" s="6" t="s">
        <v>65</v>
      </c>
    </row>
    <row r="494">
      <c r="A494" s="14" t="s">
        <v>31</v>
      </c>
      <c r="B494" s="16" t="s">
        <v>37</v>
      </c>
      <c r="C494" s="14" t="s">
        <v>18</v>
      </c>
      <c r="D494" s="29">
        <v>300.0</v>
      </c>
      <c r="E494" s="6" t="s">
        <v>65</v>
      </c>
    </row>
    <row r="495">
      <c r="A495" s="14" t="s">
        <v>31</v>
      </c>
      <c r="B495" s="16" t="s">
        <v>37</v>
      </c>
      <c r="C495" s="14" t="s">
        <v>20</v>
      </c>
      <c r="D495" s="29">
        <v>800.0</v>
      </c>
      <c r="E495" s="6" t="s">
        <v>65</v>
      </c>
    </row>
    <row r="496">
      <c r="A496" s="14" t="s">
        <v>31</v>
      </c>
      <c r="B496" s="16" t="s">
        <v>37</v>
      </c>
      <c r="C496" s="14" t="s">
        <v>24</v>
      </c>
      <c r="D496" s="29">
        <v>1500.0</v>
      </c>
      <c r="E496" s="6" t="s">
        <v>65</v>
      </c>
    </row>
    <row r="497">
      <c r="A497" s="14" t="s">
        <v>31</v>
      </c>
      <c r="B497" s="16" t="s">
        <v>37</v>
      </c>
      <c r="C497" s="14" t="s">
        <v>10</v>
      </c>
      <c r="D497" s="29">
        <v>3500.0</v>
      </c>
      <c r="E497" s="6" t="s">
        <v>65</v>
      </c>
    </row>
    <row r="498">
      <c r="A498" s="14" t="s">
        <v>31</v>
      </c>
      <c r="B498" s="16" t="s">
        <v>40</v>
      </c>
      <c r="C498" s="14" t="s">
        <v>18</v>
      </c>
      <c r="D498" s="29">
        <v>300.0</v>
      </c>
      <c r="E498" s="6" t="s">
        <v>65</v>
      </c>
    </row>
    <row r="499">
      <c r="A499" s="14" t="s">
        <v>31</v>
      </c>
      <c r="B499" s="16" t="s">
        <v>40</v>
      </c>
      <c r="C499" s="14" t="s">
        <v>20</v>
      </c>
      <c r="D499" s="29">
        <v>800.0</v>
      </c>
      <c r="E499" s="6" t="s">
        <v>65</v>
      </c>
    </row>
    <row r="500">
      <c r="A500" s="14" t="s">
        <v>31</v>
      </c>
      <c r="B500" s="16" t="s">
        <v>40</v>
      </c>
      <c r="C500" s="14" t="s">
        <v>24</v>
      </c>
      <c r="D500" s="29">
        <v>1500.0</v>
      </c>
      <c r="E500" s="6" t="s">
        <v>65</v>
      </c>
    </row>
    <row r="501">
      <c r="A501" s="14" t="s">
        <v>31</v>
      </c>
      <c r="B501" s="16" t="s">
        <v>40</v>
      </c>
      <c r="C501" s="14" t="s">
        <v>10</v>
      </c>
      <c r="D501" s="29">
        <v>3500.0</v>
      </c>
      <c r="E501" s="6" t="s">
        <v>65</v>
      </c>
    </row>
    <row r="502">
      <c r="A502" s="14" t="s">
        <v>31</v>
      </c>
      <c r="B502" s="16" t="s">
        <v>42</v>
      </c>
      <c r="C502" s="14" t="s">
        <v>18</v>
      </c>
      <c r="D502" s="29">
        <v>300.0</v>
      </c>
      <c r="E502" s="6" t="s">
        <v>65</v>
      </c>
    </row>
    <row r="503">
      <c r="A503" s="14" t="s">
        <v>31</v>
      </c>
      <c r="B503" s="16" t="s">
        <v>42</v>
      </c>
      <c r="C503" s="14" t="s">
        <v>20</v>
      </c>
      <c r="D503" s="29">
        <v>800.0</v>
      </c>
      <c r="E503" s="6" t="s">
        <v>65</v>
      </c>
    </row>
    <row r="504">
      <c r="A504" s="14" t="s">
        <v>31</v>
      </c>
      <c r="B504" s="16" t="s">
        <v>42</v>
      </c>
      <c r="C504" s="14" t="s">
        <v>24</v>
      </c>
      <c r="D504" s="29">
        <v>1500.0</v>
      </c>
      <c r="E504" s="6" t="s">
        <v>65</v>
      </c>
    </row>
    <row r="505">
      <c r="A505" s="14" t="s">
        <v>31</v>
      </c>
      <c r="B505" s="16" t="s">
        <v>42</v>
      </c>
      <c r="C505" s="14" t="s">
        <v>10</v>
      </c>
      <c r="D505" s="29">
        <v>3500.0</v>
      </c>
      <c r="E505" s="6" t="s">
        <v>65</v>
      </c>
    </row>
    <row r="506">
      <c r="A506" s="14" t="s">
        <v>31</v>
      </c>
      <c r="B506" s="16" t="s">
        <v>43</v>
      </c>
      <c r="C506" s="14" t="s">
        <v>18</v>
      </c>
      <c r="D506" s="29">
        <v>300.0</v>
      </c>
      <c r="E506" s="6" t="s">
        <v>65</v>
      </c>
    </row>
    <row r="507">
      <c r="A507" s="14" t="s">
        <v>31</v>
      </c>
      <c r="B507" s="16" t="s">
        <v>43</v>
      </c>
      <c r="C507" s="14" t="s">
        <v>20</v>
      </c>
      <c r="D507" s="29">
        <v>800.0</v>
      </c>
      <c r="E507" s="6" t="s">
        <v>65</v>
      </c>
    </row>
    <row r="508">
      <c r="A508" s="14" t="s">
        <v>31</v>
      </c>
      <c r="B508" s="16" t="s">
        <v>43</v>
      </c>
      <c r="C508" s="14" t="s">
        <v>24</v>
      </c>
      <c r="D508" s="29">
        <v>1500.0</v>
      </c>
      <c r="E508" s="6" t="s">
        <v>65</v>
      </c>
    </row>
    <row r="509">
      <c r="A509" s="14" t="s">
        <v>31</v>
      </c>
      <c r="B509" s="16" t="s">
        <v>43</v>
      </c>
      <c r="C509" s="14" t="s">
        <v>10</v>
      </c>
      <c r="D509" s="29">
        <v>3500.0</v>
      </c>
      <c r="E509" s="6" t="s">
        <v>65</v>
      </c>
    </row>
    <row r="510">
      <c r="A510" s="14" t="s">
        <v>31</v>
      </c>
      <c r="B510" s="16" t="s">
        <v>44</v>
      </c>
      <c r="C510" s="14" t="s">
        <v>18</v>
      </c>
      <c r="D510" s="29">
        <v>300.0</v>
      </c>
      <c r="E510" s="6" t="s">
        <v>65</v>
      </c>
    </row>
    <row r="511">
      <c r="A511" s="14" t="s">
        <v>31</v>
      </c>
      <c r="B511" s="16" t="s">
        <v>44</v>
      </c>
      <c r="C511" s="14" t="s">
        <v>20</v>
      </c>
      <c r="D511" s="29">
        <v>800.0</v>
      </c>
      <c r="E511" s="6" t="s">
        <v>65</v>
      </c>
    </row>
    <row r="512">
      <c r="A512" s="14" t="s">
        <v>31</v>
      </c>
      <c r="B512" s="16" t="s">
        <v>44</v>
      </c>
      <c r="C512" s="14" t="s">
        <v>24</v>
      </c>
      <c r="D512" s="29">
        <v>1500.0</v>
      </c>
      <c r="E512" s="6" t="s">
        <v>65</v>
      </c>
    </row>
    <row r="513">
      <c r="A513" s="14" t="s">
        <v>31</v>
      </c>
      <c r="B513" s="16" t="s">
        <v>44</v>
      </c>
      <c r="C513" s="14" t="s">
        <v>10</v>
      </c>
      <c r="D513" s="29">
        <v>3500.0</v>
      </c>
      <c r="E513" s="6" t="s">
        <v>65</v>
      </c>
    </row>
    <row r="514">
      <c r="A514" s="14" t="s">
        <v>31</v>
      </c>
      <c r="B514" s="16" t="s">
        <v>49</v>
      </c>
      <c r="C514" s="14" t="s">
        <v>18</v>
      </c>
      <c r="D514" s="29">
        <v>300.0</v>
      </c>
      <c r="E514" s="6" t="s">
        <v>65</v>
      </c>
    </row>
    <row r="515">
      <c r="A515" s="14" t="s">
        <v>31</v>
      </c>
      <c r="B515" s="16" t="s">
        <v>49</v>
      </c>
      <c r="C515" s="14" t="s">
        <v>20</v>
      </c>
      <c r="D515" s="29">
        <v>800.0</v>
      </c>
      <c r="E515" s="6" t="s">
        <v>65</v>
      </c>
    </row>
    <row r="516">
      <c r="A516" s="14" t="s">
        <v>31</v>
      </c>
      <c r="B516" s="16" t="s">
        <v>49</v>
      </c>
      <c r="C516" s="14" t="s">
        <v>24</v>
      </c>
      <c r="D516" s="29">
        <v>1500.0</v>
      </c>
      <c r="E516" s="6" t="s">
        <v>65</v>
      </c>
    </row>
    <row r="517">
      <c r="A517" s="14" t="s">
        <v>31</v>
      </c>
      <c r="B517" s="16" t="s">
        <v>49</v>
      </c>
      <c r="C517" s="14" t="s">
        <v>10</v>
      </c>
      <c r="D517" s="29">
        <v>3500.0</v>
      </c>
      <c r="E517" s="6" t="s">
        <v>65</v>
      </c>
    </row>
    <row r="518">
      <c r="A518" s="14" t="s">
        <v>31</v>
      </c>
      <c r="B518" s="16" t="s">
        <v>50</v>
      </c>
      <c r="C518" s="14" t="s">
        <v>18</v>
      </c>
      <c r="D518" s="29">
        <v>300.0</v>
      </c>
      <c r="E518" s="6" t="s">
        <v>65</v>
      </c>
    </row>
    <row r="519">
      <c r="A519" s="14" t="s">
        <v>31</v>
      </c>
      <c r="B519" s="16" t="s">
        <v>50</v>
      </c>
      <c r="C519" s="14" t="s">
        <v>20</v>
      </c>
      <c r="D519" s="29">
        <v>800.0</v>
      </c>
      <c r="E519" s="6" t="s">
        <v>65</v>
      </c>
    </row>
    <row r="520">
      <c r="A520" s="14" t="s">
        <v>31</v>
      </c>
      <c r="B520" s="16" t="s">
        <v>50</v>
      </c>
      <c r="C520" s="14" t="s">
        <v>24</v>
      </c>
      <c r="D520" s="29">
        <v>1500.0</v>
      </c>
      <c r="E520" s="6" t="s">
        <v>65</v>
      </c>
    </row>
    <row r="521">
      <c r="A521" s="14" t="s">
        <v>31</v>
      </c>
      <c r="B521" s="16" t="s">
        <v>50</v>
      </c>
      <c r="C521" s="14" t="s">
        <v>10</v>
      </c>
      <c r="D521" s="29">
        <v>3500.0</v>
      </c>
      <c r="E521" s="6" t="s">
        <v>65</v>
      </c>
    </row>
    <row r="522">
      <c r="A522" s="14" t="s">
        <v>31</v>
      </c>
      <c r="B522" s="16" t="s">
        <v>11</v>
      </c>
      <c r="C522" s="14" t="s">
        <v>18</v>
      </c>
      <c r="D522" s="29">
        <v>300.0</v>
      </c>
      <c r="E522" s="6" t="s">
        <v>65</v>
      </c>
    </row>
    <row r="523">
      <c r="A523" s="14" t="s">
        <v>31</v>
      </c>
      <c r="B523" s="16" t="s">
        <v>11</v>
      </c>
      <c r="C523" s="14" t="s">
        <v>20</v>
      </c>
      <c r="D523" s="29">
        <v>800.0</v>
      </c>
      <c r="E523" s="6" t="s">
        <v>65</v>
      </c>
    </row>
    <row r="524">
      <c r="A524" s="14" t="s">
        <v>31</v>
      </c>
      <c r="B524" s="16" t="s">
        <v>11</v>
      </c>
      <c r="C524" s="14" t="s">
        <v>24</v>
      </c>
      <c r="D524" s="29">
        <v>1500.0</v>
      </c>
      <c r="E524" s="6" t="s">
        <v>65</v>
      </c>
    </row>
    <row r="525">
      <c r="A525" s="14" t="s">
        <v>31</v>
      </c>
      <c r="B525" s="16" t="s">
        <v>11</v>
      </c>
      <c r="C525" s="14" t="s">
        <v>10</v>
      </c>
      <c r="D525" s="29">
        <v>3500.0</v>
      </c>
      <c r="E525" s="6" t="s">
        <v>65</v>
      </c>
    </row>
    <row r="526">
      <c r="A526" s="14" t="s">
        <v>31</v>
      </c>
      <c r="B526" s="16" t="s">
        <v>55</v>
      </c>
      <c r="C526" s="14" t="s">
        <v>18</v>
      </c>
      <c r="D526" s="29">
        <v>300.0</v>
      </c>
      <c r="E526" s="6" t="s">
        <v>65</v>
      </c>
    </row>
    <row r="527">
      <c r="A527" s="14" t="s">
        <v>31</v>
      </c>
      <c r="B527" s="16" t="s">
        <v>55</v>
      </c>
      <c r="C527" s="14" t="s">
        <v>20</v>
      </c>
      <c r="D527" s="29">
        <v>800.0</v>
      </c>
      <c r="E527" s="6" t="s">
        <v>65</v>
      </c>
    </row>
    <row r="528">
      <c r="A528" s="14" t="s">
        <v>31</v>
      </c>
      <c r="B528" s="16" t="s">
        <v>55</v>
      </c>
      <c r="C528" s="14" t="s">
        <v>24</v>
      </c>
      <c r="D528" s="29">
        <v>1500.0</v>
      </c>
      <c r="E528" s="6" t="s">
        <v>65</v>
      </c>
    </row>
    <row r="529">
      <c r="A529" s="14" t="s">
        <v>31</v>
      </c>
      <c r="B529" s="16" t="s">
        <v>55</v>
      </c>
      <c r="C529" s="14" t="s">
        <v>10</v>
      </c>
      <c r="D529" s="29">
        <v>3500.0</v>
      </c>
      <c r="E529" s="6" t="s">
        <v>65</v>
      </c>
    </row>
    <row r="530">
      <c r="A530" s="14" t="s">
        <v>31</v>
      </c>
      <c r="B530" s="16" t="s">
        <v>57</v>
      </c>
      <c r="C530" s="14" t="s">
        <v>18</v>
      </c>
      <c r="D530" s="29">
        <v>300.0</v>
      </c>
      <c r="E530" s="6" t="s">
        <v>65</v>
      </c>
    </row>
    <row r="531">
      <c r="A531" s="14" t="s">
        <v>31</v>
      </c>
      <c r="B531" s="16" t="s">
        <v>57</v>
      </c>
      <c r="C531" s="14" t="s">
        <v>20</v>
      </c>
      <c r="D531" s="29">
        <v>800.0</v>
      </c>
      <c r="E531" s="6" t="s">
        <v>65</v>
      </c>
    </row>
    <row r="532">
      <c r="A532" s="14" t="s">
        <v>31</v>
      </c>
      <c r="B532" s="16" t="s">
        <v>57</v>
      </c>
      <c r="C532" s="14" t="s">
        <v>24</v>
      </c>
      <c r="D532" s="29">
        <v>1500.0</v>
      </c>
      <c r="E532" s="6" t="s">
        <v>65</v>
      </c>
    </row>
    <row r="533">
      <c r="A533" s="14" t="s">
        <v>31</v>
      </c>
      <c r="B533" s="16" t="s">
        <v>57</v>
      </c>
      <c r="C533" s="14" t="s">
        <v>10</v>
      </c>
      <c r="D533" s="29">
        <v>3500.0</v>
      </c>
      <c r="E533" s="6" t="s">
        <v>65</v>
      </c>
    </row>
    <row r="534">
      <c r="A534" s="14" t="s">
        <v>31</v>
      </c>
      <c r="B534" s="16" t="s">
        <v>58</v>
      </c>
      <c r="C534" s="14" t="s">
        <v>18</v>
      </c>
      <c r="D534" s="29">
        <v>300.0</v>
      </c>
      <c r="E534" s="6" t="s">
        <v>65</v>
      </c>
    </row>
    <row r="535">
      <c r="A535" s="14" t="s">
        <v>31</v>
      </c>
      <c r="B535" s="16" t="s">
        <v>58</v>
      </c>
      <c r="C535" s="14" t="s">
        <v>20</v>
      </c>
      <c r="D535" s="29">
        <v>800.0</v>
      </c>
      <c r="E535" s="6" t="s">
        <v>65</v>
      </c>
    </row>
    <row r="536">
      <c r="A536" s="14" t="s">
        <v>31</v>
      </c>
      <c r="B536" s="16" t="s">
        <v>58</v>
      </c>
      <c r="C536" s="14" t="s">
        <v>24</v>
      </c>
      <c r="D536" s="29">
        <v>1500.0</v>
      </c>
      <c r="E536" s="6" t="s">
        <v>65</v>
      </c>
    </row>
    <row r="537">
      <c r="A537" s="14" t="s">
        <v>31</v>
      </c>
      <c r="B537" s="16" t="s">
        <v>58</v>
      </c>
      <c r="C537" s="14" t="s">
        <v>10</v>
      </c>
      <c r="D537" s="29">
        <v>3500.0</v>
      </c>
      <c r="E537" s="6" t="s">
        <v>65</v>
      </c>
    </row>
    <row r="538">
      <c r="A538" s="14" t="s">
        <v>31</v>
      </c>
      <c r="B538" s="16" t="s">
        <v>59</v>
      </c>
      <c r="C538" s="14" t="s">
        <v>18</v>
      </c>
      <c r="D538" s="29">
        <v>300.0</v>
      </c>
      <c r="E538" s="6" t="s">
        <v>65</v>
      </c>
    </row>
    <row r="539">
      <c r="A539" s="14" t="s">
        <v>31</v>
      </c>
      <c r="B539" s="16" t="s">
        <v>59</v>
      </c>
      <c r="C539" s="14" t="s">
        <v>20</v>
      </c>
      <c r="D539" s="29">
        <v>800.0</v>
      </c>
      <c r="E539" s="6" t="s">
        <v>65</v>
      </c>
    </row>
    <row r="540">
      <c r="A540" s="14" t="s">
        <v>31</v>
      </c>
      <c r="B540" s="16" t="s">
        <v>59</v>
      </c>
      <c r="C540" s="14" t="s">
        <v>24</v>
      </c>
      <c r="D540" s="29">
        <v>1500.0</v>
      </c>
      <c r="E540" s="6" t="s">
        <v>65</v>
      </c>
    </row>
    <row r="541">
      <c r="A541" s="14" t="s">
        <v>31</v>
      </c>
      <c r="B541" s="16" t="s">
        <v>59</v>
      </c>
      <c r="C541" s="14" t="s">
        <v>10</v>
      </c>
      <c r="D541" s="29">
        <v>3500.0</v>
      </c>
      <c r="E541" s="6" t="s">
        <v>65</v>
      </c>
    </row>
    <row r="542">
      <c r="A542" s="14" t="s">
        <v>31</v>
      </c>
      <c r="B542" s="16" t="s">
        <v>60</v>
      </c>
      <c r="C542" s="14" t="s">
        <v>18</v>
      </c>
      <c r="D542" s="29">
        <v>300.0</v>
      </c>
      <c r="E542" s="6" t="s">
        <v>65</v>
      </c>
    </row>
    <row r="543">
      <c r="A543" s="14" t="s">
        <v>31</v>
      </c>
      <c r="B543" s="16" t="s">
        <v>60</v>
      </c>
      <c r="C543" s="14" t="s">
        <v>20</v>
      </c>
      <c r="D543" s="29">
        <v>800.0</v>
      </c>
      <c r="E543" s="6" t="s">
        <v>65</v>
      </c>
    </row>
    <row r="544">
      <c r="A544" s="14" t="s">
        <v>31</v>
      </c>
      <c r="B544" s="16" t="s">
        <v>60</v>
      </c>
      <c r="C544" s="14" t="s">
        <v>24</v>
      </c>
      <c r="D544" s="29">
        <v>1500.0</v>
      </c>
      <c r="E544" s="6" t="s">
        <v>65</v>
      </c>
    </row>
    <row r="545">
      <c r="A545" s="14" t="s">
        <v>31</v>
      </c>
      <c r="B545" s="16" t="s">
        <v>60</v>
      </c>
      <c r="C545" s="14" t="s">
        <v>10</v>
      </c>
      <c r="D545" s="29">
        <v>3500.0</v>
      </c>
      <c r="E545" s="6" t="s">
        <v>65</v>
      </c>
    </row>
    <row r="546">
      <c r="A546" s="14" t="s">
        <v>31</v>
      </c>
      <c r="B546" s="16" t="s">
        <v>61</v>
      </c>
      <c r="C546" s="14" t="s">
        <v>18</v>
      </c>
      <c r="D546" s="29">
        <v>300.0</v>
      </c>
      <c r="E546" s="6" t="s">
        <v>65</v>
      </c>
    </row>
    <row r="547">
      <c r="A547" s="14" t="s">
        <v>31</v>
      </c>
      <c r="B547" s="16" t="s">
        <v>61</v>
      </c>
      <c r="C547" s="14" t="s">
        <v>20</v>
      </c>
      <c r="D547" s="29">
        <v>800.0</v>
      </c>
      <c r="E547" s="6" t="s">
        <v>65</v>
      </c>
    </row>
    <row r="548">
      <c r="A548" s="14" t="s">
        <v>31</v>
      </c>
      <c r="B548" s="16" t="s">
        <v>61</v>
      </c>
      <c r="C548" s="14" t="s">
        <v>24</v>
      </c>
      <c r="D548" s="29">
        <v>1500.0</v>
      </c>
      <c r="E548" s="6" t="s">
        <v>65</v>
      </c>
    </row>
    <row r="549">
      <c r="A549" s="14" t="s">
        <v>31</v>
      </c>
      <c r="B549" s="16" t="s">
        <v>61</v>
      </c>
      <c r="C549" s="14" t="s">
        <v>10</v>
      </c>
      <c r="D549" s="29">
        <v>3500.0</v>
      </c>
      <c r="E549" s="6" t="s">
        <v>65</v>
      </c>
    </row>
    <row r="550">
      <c r="A550" s="14" t="s">
        <v>31</v>
      </c>
      <c r="B550" s="16" t="s">
        <v>62</v>
      </c>
      <c r="C550" s="14" t="s">
        <v>18</v>
      </c>
      <c r="D550" s="29">
        <v>300.0</v>
      </c>
      <c r="E550" s="6" t="s">
        <v>65</v>
      </c>
    </row>
    <row r="551">
      <c r="A551" s="14" t="s">
        <v>31</v>
      </c>
      <c r="B551" s="16" t="s">
        <v>62</v>
      </c>
      <c r="C551" s="14" t="s">
        <v>20</v>
      </c>
      <c r="D551" s="29">
        <v>800.0</v>
      </c>
      <c r="E551" s="6" t="s">
        <v>65</v>
      </c>
    </row>
    <row r="552">
      <c r="A552" s="14" t="s">
        <v>31</v>
      </c>
      <c r="B552" s="16" t="s">
        <v>62</v>
      </c>
      <c r="C552" s="14" t="s">
        <v>24</v>
      </c>
      <c r="D552" s="29">
        <v>1500.0</v>
      </c>
      <c r="E552" s="6" t="s">
        <v>65</v>
      </c>
    </row>
    <row r="553">
      <c r="A553" s="14" t="s">
        <v>31</v>
      </c>
      <c r="B553" s="16" t="s">
        <v>62</v>
      </c>
      <c r="C553" s="14" t="s">
        <v>10</v>
      </c>
      <c r="D553" s="29">
        <v>3500.0</v>
      </c>
      <c r="E553" s="6" t="s">
        <v>65</v>
      </c>
    </row>
    <row r="554">
      <c r="A554" s="14" t="s">
        <v>31</v>
      </c>
      <c r="B554" s="16" t="s">
        <v>63</v>
      </c>
      <c r="C554" s="14" t="s">
        <v>18</v>
      </c>
      <c r="D554" s="29">
        <v>300.0</v>
      </c>
      <c r="E554" s="6" t="s">
        <v>65</v>
      </c>
    </row>
    <row r="555">
      <c r="A555" s="14" t="s">
        <v>31</v>
      </c>
      <c r="B555" s="16" t="s">
        <v>63</v>
      </c>
      <c r="C555" s="14" t="s">
        <v>20</v>
      </c>
      <c r="D555" s="29">
        <v>800.0</v>
      </c>
      <c r="E555" s="6" t="s">
        <v>65</v>
      </c>
    </row>
    <row r="556">
      <c r="A556" s="14" t="s">
        <v>31</v>
      </c>
      <c r="B556" s="16" t="s">
        <v>63</v>
      </c>
      <c r="C556" s="14" t="s">
        <v>24</v>
      </c>
      <c r="D556" s="29">
        <v>1500.0</v>
      </c>
      <c r="E556" s="6" t="s">
        <v>65</v>
      </c>
    </row>
    <row r="557">
      <c r="A557" s="14" t="s">
        <v>31</v>
      </c>
      <c r="B557" s="16" t="s">
        <v>63</v>
      </c>
      <c r="C557" s="14" t="s">
        <v>10</v>
      </c>
      <c r="D557" s="29">
        <v>3500.0</v>
      </c>
      <c r="E557" s="6" t="s">
        <v>65</v>
      </c>
    </row>
    <row r="558">
      <c r="A558" s="14" t="s">
        <v>31</v>
      </c>
      <c r="B558" s="16" t="s">
        <v>64</v>
      </c>
      <c r="C558" s="14" t="s">
        <v>18</v>
      </c>
      <c r="D558" s="29">
        <v>300.0</v>
      </c>
      <c r="E558" s="6" t="s">
        <v>65</v>
      </c>
    </row>
    <row r="559">
      <c r="A559" s="14" t="s">
        <v>31</v>
      </c>
      <c r="B559" s="16" t="s">
        <v>64</v>
      </c>
      <c r="C559" s="14" t="s">
        <v>20</v>
      </c>
      <c r="D559" s="29">
        <v>800.0</v>
      </c>
      <c r="E559" s="6" t="s">
        <v>65</v>
      </c>
    </row>
    <row r="560">
      <c r="A560" s="14" t="s">
        <v>31</v>
      </c>
      <c r="B560" s="16" t="s">
        <v>64</v>
      </c>
      <c r="C560" s="14" t="s">
        <v>24</v>
      </c>
      <c r="D560" s="29">
        <v>1500.0</v>
      </c>
      <c r="E560" s="6" t="s">
        <v>65</v>
      </c>
    </row>
    <row r="561">
      <c r="A561" s="14" t="s">
        <v>31</v>
      </c>
      <c r="B561" s="16" t="s">
        <v>64</v>
      </c>
      <c r="C561" s="14" t="s">
        <v>10</v>
      </c>
      <c r="D561" s="29">
        <v>3500.0</v>
      </c>
      <c r="E561" s="6" t="s">
        <v>65</v>
      </c>
    </row>
    <row r="562">
      <c r="A562" s="14" t="s">
        <v>33</v>
      </c>
      <c r="B562" s="16" t="s">
        <v>5</v>
      </c>
      <c r="C562" s="14" t="s">
        <v>18</v>
      </c>
      <c r="D562" s="29">
        <v>350.0</v>
      </c>
      <c r="E562" s="6" t="s">
        <v>65</v>
      </c>
    </row>
    <row r="563">
      <c r="A563" s="14" t="s">
        <v>33</v>
      </c>
      <c r="B563" s="16" t="s">
        <v>5</v>
      </c>
      <c r="C563" s="14" t="s">
        <v>20</v>
      </c>
      <c r="D563" s="29">
        <v>700.0</v>
      </c>
      <c r="E563" s="6" t="s">
        <v>65</v>
      </c>
    </row>
    <row r="564">
      <c r="A564" s="14" t="s">
        <v>33</v>
      </c>
      <c r="B564" s="16" t="s">
        <v>5</v>
      </c>
      <c r="C564" s="14" t="s">
        <v>24</v>
      </c>
      <c r="D564" s="29">
        <v>1500.0</v>
      </c>
      <c r="E564" s="6" t="s">
        <v>65</v>
      </c>
    </row>
    <row r="565">
      <c r="A565" s="14" t="s">
        <v>33</v>
      </c>
      <c r="B565" s="16" t="s">
        <v>5</v>
      </c>
      <c r="C565" s="14" t="s">
        <v>10</v>
      </c>
      <c r="D565" s="29">
        <v>3000.0</v>
      </c>
      <c r="E565" s="6" t="s">
        <v>65</v>
      </c>
    </row>
    <row r="566">
      <c r="A566" s="14" t="s">
        <v>33</v>
      </c>
      <c r="B566" s="16" t="s">
        <v>27</v>
      </c>
      <c r="C566" s="14" t="s">
        <v>18</v>
      </c>
      <c r="D566" s="29">
        <v>350.0</v>
      </c>
      <c r="E566" s="6" t="s">
        <v>65</v>
      </c>
    </row>
    <row r="567">
      <c r="A567" s="14" t="s">
        <v>33</v>
      </c>
      <c r="B567" s="16" t="s">
        <v>27</v>
      </c>
      <c r="C567" s="14" t="s">
        <v>20</v>
      </c>
      <c r="D567" s="29">
        <v>700.0</v>
      </c>
      <c r="E567" s="6" t="s">
        <v>65</v>
      </c>
    </row>
    <row r="568">
      <c r="A568" s="14" t="s">
        <v>33</v>
      </c>
      <c r="B568" s="16" t="s">
        <v>27</v>
      </c>
      <c r="C568" s="14" t="s">
        <v>24</v>
      </c>
      <c r="D568" s="29">
        <v>1500.0</v>
      </c>
      <c r="E568" s="6" t="s">
        <v>65</v>
      </c>
    </row>
    <row r="569">
      <c r="A569" s="14" t="s">
        <v>33</v>
      </c>
      <c r="B569" s="16" t="s">
        <v>27</v>
      </c>
      <c r="C569" s="14" t="s">
        <v>10</v>
      </c>
      <c r="D569" s="29">
        <v>3000.0</v>
      </c>
      <c r="E569" s="6" t="s">
        <v>65</v>
      </c>
    </row>
    <row r="570">
      <c r="A570" s="14" t="s">
        <v>33</v>
      </c>
      <c r="B570" s="16" t="s">
        <v>32</v>
      </c>
      <c r="C570" s="14" t="s">
        <v>18</v>
      </c>
      <c r="D570" s="29">
        <v>350.0</v>
      </c>
      <c r="E570" s="6" t="s">
        <v>65</v>
      </c>
    </row>
    <row r="571">
      <c r="A571" s="14" t="s">
        <v>33</v>
      </c>
      <c r="B571" s="16" t="s">
        <v>32</v>
      </c>
      <c r="C571" s="14" t="s">
        <v>20</v>
      </c>
      <c r="D571" s="29">
        <v>700.0</v>
      </c>
      <c r="E571" s="6" t="s">
        <v>65</v>
      </c>
    </row>
    <row r="572">
      <c r="A572" s="14" t="s">
        <v>33</v>
      </c>
      <c r="B572" s="16" t="s">
        <v>32</v>
      </c>
      <c r="C572" s="14" t="s">
        <v>24</v>
      </c>
      <c r="D572" s="29">
        <v>1500.0</v>
      </c>
      <c r="E572" s="6" t="s">
        <v>65</v>
      </c>
    </row>
    <row r="573">
      <c r="A573" s="14" t="s">
        <v>33</v>
      </c>
      <c r="B573" s="16" t="s">
        <v>32</v>
      </c>
      <c r="C573" s="14" t="s">
        <v>10</v>
      </c>
      <c r="D573" s="29">
        <v>3000.0</v>
      </c>
      <c r="E573" s="6" t="s">
        <v>65</v>
      </c>
    </row>
    <row r="574">
      <c r="A574" s="14" t="s">
        <v>33</v>
      </c>
      <c r="B574" s="16" t="s">
        <v>37</v>
      </c>
      <c r="C574" s="14" t="s">
        <v>18</v>
      </c>
      <c r="D574" s="29">
        <v>350.0</v>
      </c>
      <c r="E574" s="6" t="s">
        <v>65</v>
      </c>
    </row>
    <row r="575">
      <c r="A575" s="14" t="s">
        <v>33</v>
      </c>
      <c r="B575" s="16" t="s">
        <v>37</v>
      </c>
      <c r="C575" s="14" t="s">
        <v>20</v>
      </c>
      <c r="D575" s="29">
        <v>700.0</v>
      </c>
      <c r="E575" s="6" t="s">
        <v>65</v>
      </c>
    </row>
    <row r="576">
      <c r="A576" s="14" t="s">
        <v>33</v>
      </c>
      <c r="B576" s="16" t="s">
        <v>37</v>
      </c>
      <c r="C576" s="14" t="s">
        <v>24</v>
      </c>
      <c r="D576" s="29">
        <v>1500.0</v>
      </c>
      <c r="E576" s="6" t="s">
        <v>65</v>
      </c>
    </row>
    <row r="577">
      <c r="A577" s="14" t="s">
        <v>33</v>
      </c>
      <c r="B577" s="16" t="s">
        <v>37</v>
      </c>
      <c r="C577" s="14" t="s">
        <v>10</v>
      </c>
      <c r="D577" s="29">
        <v>3000.0</v>
      </c>
      <c r="E577" s="6" t="s">
        <v>65</v>
      </c>
    </row>
    <row r="578">
      <c r="A578" s="14" t="s">
        <v>33</v>
      </c>
      <c r="B578" s="16" t="s">
        <v>40</v>
      </c>
      <c r="C578" s="14" t="s">
        <v>18</v>
      </c>
      <c r="D578" s="29">
        <v>350.0</v>
      </c>
      <c r="E578" s="6" t="s">
        <v>65</v>
      </c>
    </row>
    <row r="579">
      <c r="A579" s="14" t="s">
        <v>33</v>
      </c>
      <c r="B579" s="16" t="s">
        <v>40</v>
      </c>
      <c r="C579" s="14" t="s">
        <v>20</v>
      </c>
      <c r="D579" s="29">
        <v>700.0</v>
      </c>
      <c r="E579" s="6" t="s">
        <v>65</v>
      </c>
    </row>
    <row r="580">
      <c r="A580" s="14" t="s">
        <v>33</v>
      </c>
      <c r="B580" s="16" t="s">
        <v>40</v>
      </c>
      <c r="C580" s="14" t="s">
        <v>24</v>
      </c>
      <c r="D580" s="29">
        <v>1500.0</v>
      </c>
      <c r="E580" s="6" t="s">
        <v>65</v>
      </c>
    </row>
    <row r="581">
      <c r="A581" s="14" t="s">
        <v>33</v>
      </c>
      <c r="B581" s="16" t="s">
        <v>40</v>
      </c>
      <c r="C581" s="14" t="s">
        <v>10</v>
      </c>
      <c r="D581" s="29">
        <v>3000.0</v>
      </c>
      <c r="E581" s="6" t="s">
        <v>65</v>
      </c>
    </row>
    <row r="582">
      <c r="A582" s="14" t="s">
        <v>33</v>
      </c>
      <c r="B582" s="16" t="s">
        <v>42</v>
      </c>
      <c r="C582" s="14" t="s">
        <v>18</v>
      </c>
      <c r="D582" s="29">
        <v>350.0</v>
      </c>
      <c r="E582" s="6" t="s">
        <v>65</v>
      </c>
    </row>
    <row r="583">
      <c r="A583" s="14" t="s">
        <v>33</v>
      </c>
      <c r="B583" s="16" t="s">
        <v>42</v>
      </c>
      <c r="C583" s="14" t="s">
        <v>20</v>
      </c>
      <c r="D583" s="29">
        <v>700.0</v>
      </c>
      <c r="E583" s="6" t="s">
        <v>65</v>
      </c>
    </row>
    <row r="584">
      <c r="A584" s="14" t="s">
        <v>33</v>
      </c>
      <c r="B584" s="16" t="s">
        <v>42</v>
      </c>
      <c r="C584" s="14" t="s">
        <v>24</v>
      </c>
      <c r="D584" s="29">
        <v>1500.0</v>
      </c>
      <c r="E584" s="6" t="s">
        <v>65</v>
      </c>
    </row>
    <row r="585">
      <c r="A585" s="14" t="s">
        <v>33</v>
      </c>
      <c r="B585" s="16" t="s">
        <v>42</v>
      </c>
      <c r="C585" s="14" t="s">
        <v>10</v>
      </c>
      <c r="D585" s="29">
        <v>3000.0</v>
      </c>
      <c r="E585" s="6" t="s">
        <v>65</v>
      </c>
    </row>
    <row r="586">
      <c r="A586" s="14" t="s">
        <v>33</v>
      </c>
      <c r="B586" s="16" t="s">
        <v>43</v>
      </c>
      <c r="C586" s="14" t="s">
        <v>18</v>
      </c>
      <c r="D586" s="29">
        <v>350.0</v>
      </c>
      <c r="E586" s="6" t="s">
        <v>65</v>
      </c>
    </row>
    <row r="587">
      <c r="A587" s="14" t="s">
        <v>33</v>
      </c>
      <c r="B587" s="16" t="s">
        <v>43</v>
      </c>
      <c r="C587" s="14" t="s">
        <v>20</v>
      </c>
      <c r="D587" s="29">
        <v>700.0</v>
      </c>
      <c r="E587" s="6" t="s">
        <v>65</v>
      </c>
    </row>
    <row r="588">
      <c r="A588" s="14" t="s">
        <v>33</v>
      </c>
      <c r="B588" s="16" t="s">
        <v>43</v>
      </c>
      <c r="C588" s="14" t="s">
        <v>24</v>
      </c>
      <c r="D588" s="29">
        <v>1500.0</v>
      </c>
      <c r="E588" s="6" t="s">
        <v>65</v>
      </c>
    </row>
    <row r="589">
      <c r="A589" s="14" t="s">
        <v>33</v>
      </c>
      <c r="B589" s="16" t="s">
        <v>43</v>
      </c>
      <c r="C589" s="14" t="s">
        <v>10</v>
      </c>
      <c r="D589" s="29">
        <v>3000.0</v>
      </c>
      <c r="E589" s="6" t="s">
        <v>65</v>
      </c>
    </row>
    <row r="590">
      <c r="A590" s="14" t="s">
        <v>33</v>
      </c>
      <c r="B590" s="16" t="s">
        <v>44</v>
      </c>
      <c r="C590" s="14" t="s">
        <v>18</v>
      </c>
      <c r="D590" s="29">
        <v>350.0</v>
      </c>
      <c r="E590" s="6" t="s">
        <v>65</v>
      </c>
    </row>
    <row r="591">
      <c r="A591" s="14" t="s">
        <v>33</v>
      </c>
      <c r="B591" s="16" t="s">
        <v>44</v>
      </c>
      <c r="C591" s="14" t="s">
        <v>20</v>
      </c>
      <c r="D591" s="29">
        <v>700.0</v>
      </c>
      <c r="E591" s="6" t="s">
        <v>65</v>
      </c>
    </row>
    <row r="592">
      <c r="A592" s="14" t="s">
        <v>33</v>
      </c>
      <c r="B592" s="16" t="s">
        <v>44</v>
      </c>
      <c r="C592" s="14" t="s">
        <v>24</v>
      </c>
      <c r="D592" s="29">
        <v>1500.0</v>
      </c>
      <c r="E592" s="6" t="s">
        <v>65</v>
      </c>
    </row>
    <row r="593">
      <c r="A593" s="14" t="s">
        <v>33</v>
      </c>
      <c r="B593" s="16" t="s">
        <v>44</v>
      </c>
      <c r="C593" s="14" t="s">
        <v>10</v>
      </c>
      <c r="D593" s="29">
        <v>3000.0</v>
      </c>
      <c r="E593" s="6" t="s">
        <v>65</v>
      </c>
    </row>
    <row r="594">
      <c r="A594" s="14" t="s">
        <v>33</v>
      </c>
      <c r="B594" s="16" t="s">
        <v>49</v>
      </c>
      <c r="C594" s="14" t="s">
        <v>18</v>
      </c>
      <c r="D594" s="29">
        <v>350.0</v>
      </c>
      <c r="E594" s="6" t="s">
        <v>65</v>
      </c>
    </row>
    <row r="595">
      <c r="A595" s="14" t="s">
        <v>33</v>
      </c>
      <c r="B595" s="16" t="s">
        <v>49</v>
      </c>
      <c r="C595" s="14" t="s">
        <v>20</v>
      </c>
      <c r="D595" s="29">
        <v>700.0</v>
      </c>
      <c r="E595" s="6" t="s">
        <v>65</v>
      </c>
    </row>
    <row r="596">
      <c r="A596" s="14" t="s">
        <v>33</v>
      </c>
      <c r="B596" s="16" t="s">
        <v>49</v>
      </c>
      <c r="C596" s="14" t="s">
        <v>24</v>
      </c>
      <c r="D596" s="29">
        <v>1500.0</v>
      </c>
      <c r="E596" s="6" t="s">
        <v>65</v>
      </c>
    </row>
    <row r="597">
      <c r="A597" s="14" t="s">
        <v>33</v>
      </c>
      <c r="B597" s="16" t="s">
        <v>49</v>
      </c>
      <c r="C597" s="14" t="s">
        <v>10</v>
      </c>
      <c r="D597" s="29">
        <v>3000.0</v>
      </c>
      <c r="E597" s="6" t="s">
        <v>65</v>
      </c>
    </row>
    <row r="598">
      <c r="A598" s="14" t="s">
        <v>33</v>
      </c>
      <c r="B598" s="16" t="s">
        <v>50</v>
      </c>
      <c r="C598" s="14" t="s">
        <v>18</v>
      </c>
      <c r="D598" s="29">
        <v>350.0</v>
      </c>
      <c r="E598" s="6" t="s">
        <v>65</v>
      </c>
    </row>
    <row r="599">
      <c r="A599" s="14" t="s">
        <v>33</v>
      </c>
      <c r="B599" s="16" t="s">
        <v>50</v>
      </c>
      <c r="C599" s="14" t="s">
        <v>20</v>
      </c>
      <c r="D599" s="29">
        <v>700.0</v>
      </c>
      <c r="E599" s="6" t="s">
        <v>65</v>
      </c>
    </row>
    <row r="600">
      <c r="A600" s="14" t="s">
        <v>33</v>
      </c>
      <c r="B600" s="16" t="s">
        <v>50</v>
      </c>
      <c r="C600" s="14" t="s">
        <v>24</v>
      </c>
      <c r="D600" s="29">
        <v>1500.0</v>
      </c>
      <c r="E600" s="6" t="s">
        <v>65</v>
      </c>
    </row>
    <row r="601">
      <c r="A601" s="14" t="s">
        <v>33</v>
      </c>
      <c r="B601" s="16" t="s">
        <v>50</v>
      </c>
      <c r="C601" s="14" t="s">
        <v>10</v>
      </c>
      <c r="D601" s="29">
        <v>3000.0</v>
      </c>
      <c r="E601" s="6" t="s">
        <v>65</v>
      </c>
    </row>
    <row r="602">
      <c r="A602" s="14" t="s">
        <v>33</v>
      </c>
      <c r="B602" s="16" t="s">
        <v>11</v>
      </c>
      <c r="C602" s="14" t="s">
        <v>18</v>
      </c>
      <c r="D602" s="29">
        <v>350.0</v>
      </c>
      <c r="E602" s="6" t="s">
        <v>65</v>
      </c>
    </row>
    <row r="603">
      <c r="A603" s="14" t="s">
        <v>33</v>
      </c>
      <c r="B603" s="16" t="s">
        <v>11</v>
      </c>
      <c r="C603" s="14" t="s">
        <v>20</v>
      </c>
      <c r="D603" s="29">
        <v>700.0</v>
      </c>
      <c r="E603" s="6" t="s">
        <v>65</v>
      </c>
    </row>
    <row r="604">
      <c r="A604" s="14" t="s">
        <v>33</v>
      </c>
      <c r="B604" s="16" t="s">
        <v>11</v>
      </c>
      <c r="C604" s="14" t="s">
        <v>24</v>
      </c>
      <c r="D604" s="29">
        <v>1500.0</v>
      </c>
      <c r="E604" s="6" t="s">
        <v>65</v>
      </c>
    </row>
    <row r="605">
      <c r="A605" s="14" t="s">
        <v>33</v>
      </c>
      <c r="B605" s="16" t="s">
        <v>11</v>
      </c>
      <c r="C605" s="14" t="s">
        <v>10</v>
      </c>
      <c r="D605" s="29">
        <v>3000.0</v>
      </c>
      <c r="E605" s="6" t="s">
        <v>65</v>
      </c>
    </row>
    <row r="606">
      <c r="A606" s="14" t="s">
        <v>33</v>
      </c>
      <c r="B606" s="16" t="s">
        <v>55</v>
      </c>
      <c r="C606" s="14" t="s">
        <v>18</v>
      </c>
      <c r="D606" s="29">
        <v>350.0</v>
      </c>
      <c r="E606" s="6" t="s">
        <v>65</v>
      </c>
    </row>
    <row r="607">
      <c r="A607" s="14" t="s">
        <v>33</v>
      </c>
      <c r="B607" s="16" t="s">
        <v>55</v>
      </c>
      <c r="C607" s="14" t="s">
        <v>20</v>
      </c>
      <c r="D607" s="29">
        <v>700.0</v>
      </c>
      <c r="E607" s="6" t="s">
        <v>65</v>
      </c>
    </row>
    <row r="608">
      <c r="A608" s="14" t="s">
        <v>33</v>
      </c>
      <c r="B608" s="16" t="s">
        <v>55</v>
      </c>
      <c r="C608" s="14" t="s">
        <v>24</v>
      </c>
      <c r="D608" s="29">
        <v>1500.0</v>
      </c>
      <c r="E608" s="6" t="s">
        <v>65</v>
      </c>
    </row>
    <row r="609">
      <c r="A609" s="14" t="s">
        <v>33</v>
      </c>
      <c r="B609" s="16" t="s">
        <v>55</v>
      </c>
      <c r="C609" s="14" t="s">
        <v>10</v>
      </c>
      <c r="D609" s="29">
        <v>3000.0</v>
      </c>
      <c r="E609" s="6" t="s">
        <v>65</v>
      </c>
    </row>
    <row r="610">
      <c r="A610" s="14" t="s">
        <v>33</v>
      </c>
      <c r="B610" s="16" t="s">
        <v>57</v>
      </c>
      <c r="C610" s="14" t="s">
        <v>18</v>
      </c>
      <c r="D610" s="29">
        <v>350.0</v>
      </c>
      <c r="E610" s="6" t="s">
        <v>65</v>
      </c>
    </row>
    <row r="611">
      <c r="A611" s="14" t="s">
        <v>33</v>
      </c>
      <c r="B611" s="16" t="s">
        <v>57</v>
      </c>
      <c r="C611" s="14" t="s">
        <v>20</v>
      </c>
      <c r="D611" s="29">
        <v>700.0</v>
      </c>
      <c r="E611" s="6" t="s">
        <v>65</v>
      </c>
    </row>
    <row r="612">
      <c r="A612" s="14" t="s">
        <v>33</v>
      </c>
      <c r="B612" s="16" t="s">
        <v>57</v>
      </c>
      <c r="C612" s="14" t="s">
        <v>24</v>
      </c>
      <c r="D612" s="29">
        <v>1500.0</v>
      </c>
      <c r="E612" s="6" t="s">
        <v>65</v>
      </c>
    </row>
    <row r="613">
      <c r="A613" s="14" t="s">
        <v>33</v>
      </c>
      <c r="B613" s="16" t="s">
        <v>57</v>
      </c>
      <c r="C613" s="14" t="s">
        <v>10</v>
      </c>
      <c r="D613" s="29">
        <v>3000.0</v>
      </c>
      <c r="E613" s="6" t="s">
        <v>65</v>
      </c>
    </row>
    <row r="614">
      <c r="A614" s="14" t="s">
        <v>33</v>
      </c>
      <c r="B614" s="16" t="s">
        <v>58</v>
      </c>
      <c r="C614" s="14" t="s">
        <v>18</v>
      </c>
      <c r="D614" s="29">
        <v>350.0</v>
      </c>
      <c r="E614" s="6" t="s">
        <v>65</v>
      </c>
    </row>
    <row r="615">
      <c r="A615" s="14" t="s">
        <v>33</v>
      </c>
      <c r="B615" s="16" t="s">
        <v>58</v>
      </c>
      <c r="C615" s="14" t="s">
        <v>20</v>
      </c>
      <c r="D615" s="29">
        <v>700.0</v>
      </c>
      <c r="E615" s="6" t="s">
        <v>65</v>
      </c>
    </row>
    <row r="616">
      <c r="A616" s="14" t="s">
        <v>33</v>
      </c>
      <c r="B616" s="16" t="s">
        <v>58</v>
      </c>
      <c r="C616" s="14" t="s">
        <v>24</v>
      </c>
      <c r="D616" s="29">
        <v>1500.0</v>
      </c>
      <c r="E616" s="6" t="s">
        <v>65</v>
      </c>
    </row>
    <row r="617">
      <c r="A617" s="14" t="s">
        <v>33</v>
      </c>
      <c r="B617" s="16" t="s">
        <v>58</v>
      </c>
      <c r="C617" s="14" t="s">
        <v>10</v>
      </c>
      <c r="D617" s="29">
        <v>3000.0</v>
      </c>
      <c r="E617" s="6" t="s">
        <v>65</v>
      </c>
    </row>
    <row r="618">
      <c r="A618" s="14" t="s">
        <v>33</v>
      </c>
      <c r="B618" s="16" t="s">
        <v>59</v>
      </c>
      <c r="C618" s="14" t="s">
        <v>18</v>
      </c>
      <c r="D618" s="29">
        <v>350.0</v>
      </c>
      <c r="E618" s="6" t="s">
        <v>65</v>
      </c>
    </row>
    <row r="619">
      <c r="A619" s="14" t="s">
        <v>33</v>
      </c>
      <c r="B619" s="16" t="s">
        <v>59</v>
      </c>
      <c r="C619" s="14" t="s">
        <v>20</v>
      </c>
      <c r="D619" s="29">
        <v>700.0</v>
      </c>
      <c r="E619" s="6" t="s">
        <v>65</v>
      </c>
    </row>
    <row r="620">
      <c r="A620" s="14" t="s">
        <v>33</v>
      </c>
      <c r="B620" s="16" t="s">
        <v>59</v>
      </c>
      <c r="C620" s="14" t="s">
        <v>24</v>
      </c>
      <c r="D620" s="29">
        <v>1500.0</v>
      </c>
      <c r="E620" s="6" t="s">
        <v>65</v>
      </c>
    </row>
    <row r="621">
      <c r="A621" s="14" t="s">
        <v>33</v>
      </c>
      <c r="B621" s="16" t="s">
        <v>59</v>
      </c>
      <c r="C621" s="14" t="s">
        <v>10</v>
      </c>
      <c r="D621" s="29">
        <v>3000.0</v>
      </c>
      <c r="E621" s="6" t="s">
        <v>65</v>
      </c>
    </row>
    <row r="622">
      <c r="A622" s="14" t="s">
        <v>33</v>
      </c>
      <c r="B622" s="16" t="s">
        <v>60</v>
      </c>
      <c r="C622" s="14" t="s">
        <v>18</v>
      </c>
      <c r="D622" s="29">
        <v>350.0</v>
      </c>
      <c r="E622" s="6" t="s">
        <v>65</v>
      </c>
    </row>
    <row r="623">
      <c r="A623" s="14" t="s">
        <v>33</v>
      </c>
      <c r="B623" s="16" t="s">
        <v>60</v>
      </c>
      <c r="C623" s="14" t="s">
        <v>20</v>
      </c>
      <c r="D623" s="29">
        <v>700.0</v>
      </c>
      <c r="E623" s="6" t="s">
        <v>65</v>
      </c>
    </row>
    <row r="624">
      <c r="A624" s="14" t="s">
        <v>33</v>
      </c>
      <c r="B624" s="16" t="s">
        <v>60</v>
      </c>
      <c r="C624" s="14" t="s">
        <v>24</v>
      </c>
      <c r="D624" s="29">
        <v>1500.0</v>
      </c>
      <c r="E624" s="6" t="s">
        <v>65</v>
      </c>
    </row>
    <row r="625">
      <c r="A625" s="14" t="s">
        <v>33</v>
      </c>
      <c r="B625" s="16" t="s">
        <v>60</v>
      </c>
      <c r="C625" s="14" t="s">
        <v>10</v>
      </c>
      <c r="D625" s="29">
        <v>3000.0</v>
      </c>
      <c r="E625" s="6" t="s">
        <v>65</v>
      </c>
    </row>
    <row r="626">
      <c r="A626" s="14" t="s">
        <v>33</v>
      </c>
      <c r="B626" s="16" t="s">
        <v>61</v>
      </c>
      <c r="C626" s="14" t="s">
        <v>18</v>
      </c>
      <c r="D626" s="29">
        <v>350.0</v>
      </c>
      <c r="E626" s="6" t="s">
        <v>65</v>
      </c>
    </row>
    <row r="627">
      <c r="A627" s="14" t="s">
        <v>33</v>
      </c>
      <c r="B627" s="16" t="s">
        <v>61</v>
      </c>
      <c r="C627" s="14" t="s">
        <v>20</v>
      </c>
      <c r="D627" s="29">
        <v>700.0</v>
      </c>
      <c r="E627" s="6" t="s">
        <v>65</v>
      </c>
    </row>
    <row r="628">
      <c r="A628" s="14" t="s">
        <v>33</v>
      </c>
      <c r="B628" s="16" t="s">
        <v>61</v>
      </c>
      <c r="C628" s="14" t="s">
        <v>24</v>
      </c>
      <c r="D628" s="29">
        <v>1500.0</v>
      </c>
      <c r="E628" s="6" t="s">
        <v>65</v>
      </c>
    </row>
    <row r="629">
      <c r="A629" s="14" t="s">
        <v>33</v>
      </c>
      <c r="B629" s="16" t="s">
        <v>61</v>
      </c>
      <c r="C629" s="14" t="s">
        <v>10</v>
      </c>
      <c r="D629" s="29">
        <v>3000.0</v>
      </c>
      <c r="E629" s="6" t="s">
        <v>65</v>
      </c>
    </row>
    <row r="630">
      <c r="A630" s="14" t="s">
        <v>33</v>
      </c>
      <c r="B630" s="16" t="s">
        <v>62</v>
      </c>
      <c r="C630" s="14" t="s">
        <v>18</v>
      </c>
      <c r="D630" s="29">
        <v>350.0</v>
      </c>
      <c r="E630" s="6" t="s">
        <v>65</v>
      </c>
    </row>
    <row r="631">
      <c r="A631" s="14" t="s">
        <v>33</v>
      </c>
      <c r="B631" s="16" t="s">
        <v>62</v>
      </c>
      <c r="C631" s="14" t="s">
        <v>20</v>
      </c>
      <c r="D631" s="29">
        <v>700.0</v>
      </c>
      <c r="E631" s="6" t="s">
        <v>65</v>
      </c>
    </row>
    <row r="632">
      <c r="A632" s="14" t="s">
        <v>33</v>
      </c>
      <c r="B632" s="16" t="s">
        <v>62</v>
      </c>
      <c r="C632" s="14" t="s">
        <v>24</v>
      </c>
      <c r="D632" s="29">
        <v>1500.0</v>
      </c>
      <c r="E632" s="6" t="s">
        <v>65</v>
      </c>
    </row>
    <row r="633">
      <c r="A633" s="14" t="s">
        <v>33</v>
      </c>
      <c r="B633" s="16" t="s">
        <v>62</v>
      </c>
      <c r="C633" s="14" t="s">
        <v>10</v>
      </c>
      <c r="D633" s="29">
        <v>3000.0</v>
      </c>
      <c r="E633" s="6" t="s">
        <v>65</v>
      </c>
    </row>
    <row r="634">
      <c r="A634" s="14" t="s">
        <v>33</v>
      </c>
      <c r="B634" s="16" t="s">
        <v>63</v>
      </c>
      <c r="C634" s="14" t="s">
        <v>18</v>
      </c>
      <c r="D634" s="29">
        <v>350.0</v>
      </c>
      <c r="E634" s="6" t="s">
        <v>65</v>
      </c>
    </row>
    <row r="635">
      <c r="A635" s="14" t="s">
        <v>33</v>
      </c>
      <c r="B635" s="16" t="s">
        <v>63</v>
      </c>
      <c r="C635" s="14" t="s">
        <v>20</v>
      </c>
      <c r="D635" s="29">
        <v>700.0</v>
      </c>
      <c r="E635" s="6" t="s">
        <v>65</v>
      </c>
    </row>
    <row r="636">
      <c r="A636" s="14" t="s">
        <v>33</v>
      </c>
      <c r="B636" s="16" t="s">
        <v>63</v>
      </c>
      <c r="C636" s="14" t="s">
        <v>24</v>
      </c>
      <c r="D636" s="29">
        <v>1500.0</v>
      </c>
      <c r="E636" s="6" t="s">
        <v>65</v>
      </c>
    </row>
    <row r="637">
      <c r="A637" s="14" t="s">
        <v>33</v>
      </c>
      <c r="B637" s="16" t="s">
        <v>63</v>
      </c>
      <c r="C637" s="14" t="s">
        <v>10</v>
      </c>
      <c r="D637" s="29">
        <v>3000.0</v>
      </c>
      <c r="E637" s="6" t="s">
        <v>65</v>
      </c>
    </row>
    <row r="638">
      <c r="A638" s="14" t="s">
        <v>33</v>
      </c>
      <c r="B638" s="16" t="s">
        <v>64</v>
      </c>
      <c r="C638" s="14" t="s">
        <v>18</v>
      </c>
      <c r="D638" s="29">
        <v>350.0</v>
      </c>
      <c r="E638" s="6" t="s">
        <v>65</v>
      </c>
    </row>
    <row r="639">
      <c r="A639" s="14" t="s">
        <v>33</v>
      </c>
      <c r="B639" s="16" t="s">
        <v>64</v>
      </c>
      <c r="C639" s="14" t="s">
        <v>20</v>
      </c>
      <c r="D639" s="29">
        <v>700.0</v>
      </c>
      <c r="E639" s="6" t="s">
        <v>65</v>
      </c>
    </row>
    <row r="640">
      <c r="A640" s="14" t="s">
        <v>33</v>
      </c>
      <c r="B640" s="16" t="s">
        <v>64</v>
      </c>
      <c r="C640" s="14" t="s">
        <v>24</v>
      </c>
      <c r="D640" s="29">
        <v>1500.0</v>
      </c>
      <c r="E640" s="6" t="s">
        <v>65</v>
      </c>
    </row>
    <row r="641">
      <c r="A641" s="14" t="s">
        <v>33</v>
      </c>
      <c r="B641" s="16" t="s">
        <v>64</v>
      </c>
      <c r="C641" s="14" t="s">
        <v>10</v>
      </c>
      <c r="D641" s="29">
        <v>3000.0</v>
      </c>
      <c r="E641" s="6" t="s">
        <v>65</v>
      </c>
    </row>
    <row r="642">
      <c r="A642" s="14" t="s">
        <v>35</v>
      </c>
      <c r="B642" s="16" t="s">
        <v>5</v>
      </c>
      <c r="C642" s="14" t="s">
        <v>18</v>
      </c>
      <c r="D642" s="29">
        <v>1.0</v>
      </c>
      <c r="E642" s="6" t="s">
        <v>19</v>
      </c>
    </row>
    <row r="643">
      <c r="A643" s="14" t="s">
        <v>35</v>
      </c>
      <c r="B643" s="16" t="s">
        <v>5</v>
      </c>
      <c r="C643" s="14" t="s">
        <v>20</v>
      </c>
      <c r="D643" s="29">
        <v>3.0</v>
      </c>
      <c r="E643" s="6" t="s">
        <v>19</v>
      </c>
    </row>
    <row r="644">
      <c r="A644" s="14" t="s">
        <v>35</v>
      </c>
      <c r="B644" s="16" t="s">
        <v>5</v>
      </c>
      <c r="C644" s="14" t="s">
        <v>24</v>
      </c>
      <c r="D644" s="29">
        <v>8.0</v>
      </c>
      <c r="E644" s="6" t="s">
        <v>19</v>
      </c>
    </row>
    <row r="645">
      <c r="A645" s="14" t="s">
        <v>35</v>
      </c>
      <c r="B645" s="16" t="s">
        <v>5</v>
      </c>
      <c r="C645" s="14" t="s">
        <v>10</v>
      </c>
      <c r="D645" s="29">
        <v>20.0</v>
      </c>
      <c r="E645" s="6" t="s">
        <v>19</v>
      </c>
    </row>
    <row r="646">
      <c r="A646" s="14" t="s">
        <v>35</v>
      </c>
      <c r="B646" s="16" t="s">
        <v>27</v>
      </c>
      <c r="C646" s="14" t="s">
        <v>18</v>
      </c>
      <c r="D646" s="29">
        <v>1.0</v>
      </c>
      <c r="E646" s="6" t="s">
        <v>19</v>
      </c>
    </row>
    <row r="647">
      <c r="A647" s="14" t="s">
        <v>35</v>
      </c>
      <c r="B647" s="16" t="s">
        <v>27</v>
      </c>
      <c r="C647" s="14" t="s">
        <v>20</v>
      </c>
      <c r="D647" s="29">
        <v>3.0</v>
      </c>
      <c r="E647" s="6" t="s">
        <v>19</v>
      </c>
    </row>
    <row r="648">
      <c r="A648" s="14" t="s">
        <v>35</v>
      </c>
      <c r="B648" s="16" t="s">
        <v>27</v>
      </c>
      <c r="C648" s="14" t="s">
        <v>24</v>
      </c>
      <c r="D648" s="29">
        <v>8.0</v>
      </c>
      <c r="E648" s="6" t="s">
        <v>19</v>
      </c>
    </row>
    <row r="649">
      <c r="A649" s="14" t="s">
        <v>35</v>
      </c>
      <c r="B649" s="16" t="s">
        <v>27</v>
      </c>
      <c r="C649" s="14" t="s">
        <v>10</v>
      </c>
      <c r="D649" s="29">
        <v>20.0</v>
      </c>
      <c r="E649" s="6" t="s">
        <v>19</v>
      </c>
    </row>
    <row r="650">
      <c r="A650" s="14" t="s">
        <v>35</v>
      </c>
      <c r="B650" s="16" t="s">
        <v>32</v>
      </c>
      <c r="C650" s="14" t="s">
        <v>18</v>
      </c>
      <c r="D650" s="29">
        <v>1.0</v>
      </c>
      <c r="E650" s="6" t="s">
        <v>19</v>
      </c>
    </row>
    <row r="651">
      <c r="A651" s="14" t="s">
        <v>35</v>
      </c>
      <c r="B651" s="16" t="s">
        <v>32</v>
      </c>
      <c r="C651" s="14" t="s">
        <v>20</v>
      </c>
      <c r="D651" s="29">
        <v>3.0</v>
      </c>
      <c r="E651" s="6" t="s">
        <v>19</v>
      </c>
    </row>
    <row r="652">
      <c r="A652" s="14" t="s">
        <v>35</v>
      </c>
      <c r="B652" s="16" t="s">
        <v>32</v>
      </c>
      <c r="C652" s="14" t="s">
        <v>24</v>
      </c>
      <c r="D652" s="29">
        <v>8.0</v>
      </c>
      <c r="E652" s="6" t="s">
        <v>19</v>
      </c>
    </row>
    <row r="653">
      <c r="A653" s="14" t="s">
        <v>35</v>
      </c>
      <c r="B653" s="16" t="s">
        <v>32</v>
      </c>
      <c r="C653" s="14" t="s">
        <v>10</v>
      </c>
      <c r="D653" s="29">
        <v>20.0</v>
      </c>
      <c r="E653" s="6" t="s">
        <v>19</v>
      </c>
    </row>
    <row r="654">
      <c r="A654" s="14" t="s">
        <v>35</v>
      </c>
      <c r="B654" s="16" t="s">
        <v>37</v>
      </c>
      <c r="C654" s="14" t="s">
        <v>18</v>
      </c>
      <c r="D654" s="29">
        <v>1.0</v>
      </c>
      <c r="E654" s="6" t="s">
        <v>19</v>
      </c>
    </row>
    <row r="655">
      <c r="A655" s="14" t="s">
        <v>35</v>
      </c>
      <c r="B655" s="16" t="s">
        <v>37</v>
      </c>
      <c r="C655" s="14" t="s">
        <v>20</v>
      </c>
      <c r="D655" s="29">
        <v>3.0</v>
      </c>
      <c r="E655" s="6" t="s">
        <v>19</v>
      </c>
    </row>
    <row r="656">
      <c r="A656" s="14" t="s">
        <v>35</v>
      </c>
      <c r="B656" s="16" t="s">
        <v>37</v>
      </c>
      <c r="C656" s="14" t="s">
        <v>24</v>
      </c>
      <c r="D656" s="29">
        <v>8.0</v>
      </c>
      <c r="E656" s="6" t="s">
        <v>19</v>
      </c>
    </row>
    <row r="657">
      <c r="A657" s="14" t="s">
        <v>35</v>
      </c>
      <c r="B657" s="16" t="s">
        <v>37</v>
      </c>
      <c r="C657" s="14" t="s">
        <v>10</v>
      </c>
      <c r="D657" s="29">
        <v>20.0</v>
      </c>
      <c r="E657" s="6" t="s">
        <v>19</v>
      </c>
    </row>
    <row r="658">
      <c r="A658" s="14" t="s">
        <v>35</v>
      </c>
      <c r="B658" s="16" t="s">
        <v>40</v>
      </c>
      <c r="C658" s="14" t="s">
        <v>18</v>
      </c>
      <c r="D658" s="29">
        <v>1.0</v>
      </c>
      <c r="E658" s="6" t="s">
        <v>19</v>
      </c>
    </row>
    <row r="659">
      <c r="A659" s="14" t="s">
        <v>35</v>
      </c>
      <c r="B659" s="16" t="s">
        <v>40</v>
      </c>
      <c r="C659" s="14" t="s">
        <v>20</v>
      </c>
      <c r="D659" s="29">
        <v>3.0</v>
      </c>
      <c r="E659" s="6" t="s">
        <v>19</v>
      </c>
    </row>
    <row r="660">
      <c r="A660" s="14" t="s">
        <v>35</v>
      </c>
      <c r="B660" s="16" t="s">
        <v>40</v>
      </c>
      <c r="C660" s="14" t="s">
        <v>24</v>
      </c>
      <c r="D660" s="29">
        <v>8.0</v>
      </c>
      <c r="E660" s="6" t="s">
        <v>19</v>
      </c>
    </row>
    <row r="661">
      <c r="A661" s="14" t="s">
        <v>35</v>
      </c>
      <c r="B661" s="16" t="s">
        <v>40</v>
      </c>
      <c r="C661" s="14" t="s">
        <v>10</v>
      </c>
      <c r="D661" s="29">
        <v>20.0</v>
      </c>
      <c r="E661" s="6" t="s">
        <v>19</v>
      </c>
    </row>
    <row r="662">
      <c r="A662" s="14" t="s">
        <v>35</v>
      </c>
      <c r="B662" s="16" t="s">
        <v>42</v>
      </c>
      <c r="C662" s="14" t="s">
        <v>18</v>
      </c>
      <c r="D662" s="29">
        <v>1.0</v>
      </c>
      <c r="E662" s="6" t="s">
        <v>19</v>
      </c>
    </row>
    <row r="663">
      <c r="A663" s="14" t="s">
        <v>35</v>
      </c>
      <c r="B663" s="16" t="s">
        <v>42</v>
      </c>
      <c r="C663" s="14" t="s">
        <v>20</v>
      </c>
      <c r="D663" s="29">
        <v>3.0</v>
      </c>
      <c r="E663" s="6" t="s">
        <v>19</v>
      </c>
    </row>
    <row r="664">
      <c r="A664" s="14" t="s">
        <v>35</v>
      </c>
      <c r="B664" s="16" t="s">
        <v>42</v>
      </c>
      <c r="C664" s="14" t="s">
        <v>24</v>
      </c>
      <c r="D664" s="29">
        <v>8.0</v>
      </c>
      <c r="E664" s="6" t="s">
        <v>19</v>
      </c>
    </row>
    <row r="665">
      <c r="A665" s="14" t="s">
        <v>35</v>
      </c>
      <c r="B665" s="16" t="s">
        <v>42</v>
      </c>
      <c r="C665" s="14" t="s">
        <v>10</v>
      </c>
      <c r="D665" s="29">
        <v>20.0</v>
      </c>
      <c r="E665" s="6" t="s">
        <v>19</v>
      </c>
    </row>
    <row r="666">
      <c r="A666" s="14" t="s">
        <v>35</v>
      </c>
      <c r="B666" s="16" t="s">
        <v>43</v>
      </c>
      <c r="C666" s="14" t="s">
        <v>18</v>
      </c>
      <c r="D666" s="29">
        <v>1.0</v>
      </c>
      <c r="E666" s="6" t="s">
        <v>19</v>
      </c>
    </row>
    <row r="667">
      <c r="A667" s="14" t="s">
        <v>35</v>
      </c>
      <c r="B667" s="16" t="s">
        <v>43</v>
      </c>
      <c r="C667" s="14" t="s">
        <v>20</v>
      </c>
      <c r="D667" s="29">
        <v>3.0</v>
      </c>
      <c r="E667" s="6" t="s">
        <v>19</v>
      </c>
    </row>
    <row r="668">
      <c r="A668" s="14" t="s">
        <v>35</v>
      </c>
      <c r="B668" s="16" t="s">
        <v>43</v>
      </c>
      <c r="C668" s="14" t="s">
        <v>24</v>
      </c>
      <c r="D668" s="29">
        <v>8.0</v>
      </c>
      <c r="E668" s="6" t="s">
        <v>19</v>
      </c>
    </row>
    <row r="669">
      <c r="A669" s="14" t="s">
        <v>35</v>
      </c>
      <c r="B669" s="16" t="s">
        <v>43</v>
      </c>
      <c r="C669" s="14" t="s">
        <v>10</v>
      </c>
      <c r="D669" s="29">
        <v>20.0</v>
      </c>
      <c r="E669" s="6" t="s">
        <v>19</v>
      </c>
    </row>
    <row r="670">
      <c r="A670" s="14" t="s">
        <v>35</v>
      </c>
      <c r="B670" s="16" t="s">
        <v>44</v>
      </c>
      <c r="C670" s="14" t="s">
        <v>18</v>
      </c>
      <c r="D670" s="29">
        <v>1.0</v>
      </c>
      <c r="E670" s="6" t="s">
        <v>19</v>
      </c>
    </row>
    <row r="671">
      <c r="A671" s="14" t="s">
        <v>35</v>
      </c>
      <c r="B671" s="16" t="s">
        <v>44</v>
      </c>
      <c r="C671" s="14" t="s">
        <v>20</v>
      </c>
      <c r="D671" s="29">
        <v>3.0</v>
      </c>
      <c r="E671" s="6" t="s">
        <v>19</v>
      </c>
    </row>
    <row r="672">
      <c r="A672" s="14" t="s">
        <v>35</v>
      </c>
      <c r="B672" s="16" t="s">
        <v>44</v>
      </c>
      <c r="C672" s="14" t="s">
        <v>24</v>
      </c>
      <c r="D672" s="29">
        <v>8.0</v>
      </c>
      <c r="E672" s="6" t="s">
        <v>19</v>
      </c>
    </row>
    <row r="673">
      <c r="A673" s="14" t="s">
        <v>35</v>
      </c>
      <c r="B673" s="16" t="s">
        <v>44</v>
      </c>
      <c r="C673" s="14" t="s">
        <v>10</v>
      </c>
      <c r="D673" s="29">
        <v>20.0</v>
      </c>
      <c r="E673" s="6" t="s">
        <v>19</v>
      </c>
    </row>
    <row r="674">
      <c r="A674" s="14" t="s">
        <v>35</v>
      </c>
      <c r="B674" s="16" t="s">
        <v>49</v>
      </c>
      <c r="C674" s="14" t="s">
        <v>18</v>
      </c>
      <c r="D674" s="29">
        <v>1.0</v>
      </c>
      <c r="E674" s="6" t="s">
        <v>19</v>
      </c>
    </row>
    <row r="675">
      <c r="A675" s="14" t="s">
        <v>35</v>
      </c>
      <c r="B675" s="16" t="s">
        <v>49</v>
      </c>
      <c r="C675" s="14" t="s">
        <v>20</v>
      </c>
      <c r="D675" s="29">
        <v>3.0</v>
      </c>
      <c r="E675" s="6" t="s">
        <v>19</v>
      </c>
    </row>
    <row r="676">
      <c r="A676" s="14" t="s">
        <v>35</v>
      </c>
      <c r="B676" s="16" t="s">
        <v>49</v>
      </c>
      <c r="C676" s="14" t="s">
        <v>24</v>
      </c>
      <c r="D676" s="29">
        <v>8.0</v>
      </c>
      <c r="E676" s="6" t="s">
        <v>19</v>
      </c>
    </row>
    <row r="677">
      <c r="A677" s="14" t="s">
        <v>35</v>
      </c>
      <c r="B677" s="16" t="s">
        <v>49</v>
      </c>
      <c r="C677" s="14" t="s">
        <v>10</v>
      </c>
      <c r="D677" s="29">
        <v>20.0</v>
      </c>
      <c r="E677" s="6" t="s">
        <v>19</v>
      </c>
    </row>
    <row r="678">
      <c r="A678" s="14" t="s">
        <v>35</v>
      </c>
      <c r="B678" s="16" t="s">
        <v>50</v>
      </c>
      <c r="C678" s="14" t="s">
        <v>18</v>
      </c>
      <c r="D678" s="29">
        <v>1.0</v>
      </c>
      <c r="E678" s="6" t="s">
        <v>19</v>
      </c>
    </row>
    <row r="679">
      <c r="A679" s="14" t="s">
        <v>35</v>
      </c>
      <c r="B679" s="16" t="s">
        <v>50</v>
      </c>
      <c r="C679" s="14" t="s">
        <v>20</v>
      </c>
      <c r="D679" s="29">
        <v>3.0</v>
      </c>
      <c r="E679" s="6" t="s">
        <v>19</v>
      </c>
    </row>
    <row r="680">
      <c r="A680" s="14" t="s">
        <v>35</v>
      </c>
      <c r="B680" s="16" t="s">
        <v>50</v>
      </c>
      <c r="C680" s="14" t="s">
        <v>24</v>
      </c>
      <c r="D680" s="29">
        <v>8.0</v>
      </c>
      <c r="E680" s="6" t="s">
        <v>19</v>
      </c>
    </row>
    <row r="681">
      <c r="A681" s="14" t="s">
        <v>35</v>
      </c>
      <c r="B681" s="16" t="s">
        <v>50</v>
      </c>
      <c r="C681" s="14" t="s">
        <v>10</v>
      </c>
      <c r="D681" s="29">
        <v>20.0</v>
      </c>
      <c r="E681" s="6" t="s">
        <v>19</v>
      </c>
    </row>
    <row r="682">
      <c r="A682" s="14" t="s">
        <v>35</v>
      </c>
      <c r="B682" s="16" t="s">
        <v>11</v>
      </c>
      <c r="C682" s="14" t="s">
        <v>18</v>
      </c>
      <c r="D682" s="29">
        <v>1.0</v>
      </c>
      <c r="E682" s="6" t="s">
        <v>19</v>
      </c>
    </row>
    <row r="683">
      <c r="A683" s="14" t="s">
        <v>35</v>
      </c>
      <c r="B683" s="16" t="s">
        <v>11</v>
      </c>
      <c r="C683" s="14" t="s">
        <v>20</v>
      </c>
      <c r="D683" s="29">
        <v>3.0</v>
      </c>
      <c r="E683" s="6" t="s">
        <v>19</v>
      </c>
    </row>
    <row r="684">
      <c r="A684" s="14" t="s">
        <v>35</v>
      </c>
      <c r="B684" s="16" t="s">
        <v>11</v>
      </c>
      <c r="C684" s="14" t="s">
        <v>24</v>
      </c>
      <c r="D684" s="29">
        <v>8.0</v>
      </c>
      <c r="E684" s="6" t="s">
        <v>19</v>
      </c>
    </row>
    <row r="685">
      <c r="A685" s="14" t="s">
        <v>35</v>
      </c>
      <c r="B685" s="16" t="s">
        <v>11</v>
      </c>
      <c r="C685" s="14" t="s">
        <v>10</v>
      </c>
      <c r="D685" s="29">
        <v>20.0</v>
      </c>
      <c r="E685" s="6" t="s">
        <v>19</v>
      </c>
    </row>
    <row r="686">
      <c r="A686" s="14" t="s">
        <v>35</v>
      </c>
      <c r="B686" s="16" t="s">
        <v>55</v>
      </c>
      <c r="C686" s="14" t="s">
        <v>18</v>
      </c>
      <c r="D686" s="29">
        <v>1.0</v>
      </c>
      <c r="E686" s="6" t="s">
        <v>19</v>
      </c>
    </row>
    <row r="687">
      <c r="A687" s="14" t="s">
        <v>35</v>
      </c>
      <c r="B687" s="16" t="s">
        <v>55</v>
      </c>
      <c r="C687" s="14" t="s">
        <v>20</v>
      </c>
      <c r="D687" s="29">
        <v>3.0</v>
      </c>
      <c r="E687" s="6" t="s">
        <v>19</v>
      </c>
    </row>
    <row r="688">
      <c r="A688" s="14" t="s">
        <v>35</v>
      </c>
      <c r="B688" s="16" t="s">
        <v>55</v>
      </c>
      <c r="C688" s="14" t="s">
        <v>24</v>
      </c>
      <c r="D688" s="29">
        <v>8.0</v>
      </c>
      <c r="E688" s="6" t="s">
        <v>19</v>
      </c>
    </row>
    <row r="689">
      <c r="A689" s="14" t="s">
        <v>35</v>
      </c>
      <c r="B689" s="16" t="s">
        <v>55</v>
      </c>
      <c r="C689" s="14" t="s">
        <v>10</v>
      </c>
      <c r="D689" s="29">
        <v>20.0</v>
      </c>
      <c r="E689" s="6" t="s">
        <v>19</v>
      </c>
    </row>
    <row r="690">
      <c r="A690" s="14" t="s">
        <v>35</v>
      </c>
      <c r="B690" s="16" t="s">
        <v>57</v>
      </c>
      <c r="C690" s="14" t="s">
        <v>18</v>
      </c>
      <c r="D690" s="29">
        <v>1.0</v>
      </c>
      <c r="E690" s="6" t="s">
        <v>19</v>
      </c>
    </row>
    <row r="691">
      <c r="A691" s="14" t="s">
        <v>35</v>
      </c>
      <c r="B691" s="16" t="s">
        <v>57</v>
      </c>
      <c r="C691" s="14" t="s">
        <v>20</v>
      </c>
      <c r="D691" s="29">
        <v>3.0</v>
      </c>
      <c r="E691" s="6" t="s">
        <v>19</v>
      </c>
    </row>
    <row r="692">
      <c r="A692" s="14" t="s">
        <v>35</v>
      </c>
      <c r="B692" s="16" t="s">
        <v>57</v>
      </c>
      <c r="C692" s="14" t="s">
        <v>24</v>
      </c>
      <c r="D692" s="29">
        <v>8.0</v>
      </c>
      <c r="E692" s="6" t="s">
        <v>19</v>
      </c>
    </row>
    <row r="693">
      <c r="A693" s="14" t="s">
        <v>35</v>
      </c>
      <c r="B693" s="16" t="s">
        <v>57</v>
      </c>
      <c r="C693" s="14" t="s">
        <v>10</v>
      </c>
      <c r="D693" s="29">
        <v>20.0</v>
      </c>
      <c r="E693" s="6" t="s">
        <v>19</v>
      </c>
    </row>
    <row r="694">
      <c r="A694" s="14" t="s">
        <v>35</v>
      </c>
      <c r="B694" s="16" t="s">
        <v>58</v>
      </c>
      <c r="C694" s="14" t="s">
        <v>18</v>
      </c>
      <c r="D694" s="29">
        <v>1.0</v>
      </c>
      <c r="E694" s="6" t="s">
        <v>19</v>
      </c>
    </row>
    <row r="695">
      <c r="A695" s="14" t="s">
        <v>35</v>
      </c>
      <c r="B695" s="16" t="s">
        <v>58</v>
      </c>
      <c r="C695" s="14" t="s">
        <v>20</v>
      </c>
      <c r="D695" s="29">
        <v>3.0</v>
      </c>
      <c r="E695" s="6" t="s">
        <v>19</v>
      </c>
    </row>
    <row r="696">
      <c r="A696" s="14" t="s">
        <v>35</v>
      </c>
      <c r="B696" s="16" t="s">
        <v>58</v>
      </c>
      <c r="C696" s="14" t="s">
        <v>24</v>
      </c>
      <c r="D696" s="29">
        <v>8.0</v>
      </c>
      <c r="E696" s="6" t="s">
        <v>19</v>
      </c>
    </row>
    <row r="697">
      <c r="A697" s="14" t="s">
        <v>35</v>
      </c>
      <c r="B697" s="16" t="s">
        <v>58</v>
      </c>
      <c r="C697" s="14" t="s">
        <v>10</v>
      </c>
      <c r="D697" s="29">
        <v>20.0</v>
      </c>
      <c r="E697" s="6" t="s">
        <v>19</v>
      </c>
    </row>
    <row r="698">
      <c r="A698" s="14" t="s">
        <v>35</v>
      </c>
      <c r="B698" s="16" t="s">
        <v>59</v>
      </c>
      <c r="C698" s="14" t="s">
        <v>18</v>
      </c>
      <c r="D698" s="29">
        <v>1.0</v>
      </c>
      <c r="E698" s="6" t="s">
        <v>19</v>
      </c>
    </row>
    <row r="699">
      <c r="A699" s="14" t="s">
        <v>35</v>
      </c>
      <c r="B699" s="16" t="s">
        <v>59</v>
      </c>
      <c r="C699" s="14" t="s">
        <v>20</v>
      </c>
      <c r="D699" s="29">
        <v>3.0</v>
      </c>
      <c r="E699" s="6" t="s">
        <v>19</v>
      </c>
    </row>
    <row r="700">
      <c r="A700" s="14" t="s">
        <v>35</v>
      </c>
      <c r="B700" s="16" t="s">
        <v>59</v>
      </c>
      <c r="C700" s="14" t="s">
        <v>24</v>
      </c>
      <c r="D700" s="29">
        <v>8.0</v>
      </c>
      <c r="E700" s="6" t="s">
        <v>19</v>
      </c>
    </row>
    <row r="701">
      <c r="A701" s="14" t="s">
        <v>35</v>
      </c>
      <c r="B701" s="16" t="s">
        <v>59</v>
      </c>
      <c r="C701" s="14" t="s">
        <v>10</v>
      </c>
      <c r="D701" s="29">
        <v>20.0</v>
      </c>
      <c r="E701" s="6" t="s">
        <v>19</v>
      </c>
    </row>
    <row r="702">
      <c r="A702" s="14" t="s">
        <v>35</v>
      </c>
      <c r="B702" s="16" t="s">
        <v>60</v>
      </c>
      <c r="C702" s="14" t="s">
        <v>18</v>
      </c>
      <c r="D702" s="29">
        <v>1.0</v>
      </c>
      <c r="E702" s="6" t="s">
        <v>19</v>
      </c>
    </row>
    <row r="703">
      <c r="A703" s="14" t="s">
        <v>35</v>
      </c>
      <c r="B703" s="16" t="s">
        <v>60</v>
      </c>
      <c r="C703" s="14" t="s">
        <v>20</v>
      </c>
      <c r="D703" s="29">
        <v>3.0</v>
      </c>
      <c r="E703" s="6" t="s">
        <v>19</v>
      </c>
    </row>
    <row r="704">
      <c r="A704" s="14" t="s">
        <v>35</v>
      </c>
      <c r="B704" s="16" t="s">
        <v>60</v>
      </c>
      <c r="C704" s="14" t="s">
        <v>24</v>
      </c>
      <c r="D704" s="29">
        <v>8.0</v>
      </c>
      <c r="E704" s="6" t="s">
        <v>19</v>
      </c>
    </row>
    <row r="705">
      <c r="A705" s="14" t="s">
        <v>35</v>
      </c>
      <c r="B705" s="16" t="s">
        <v>60</v>
      </c>
      <c r="C705" s="14" t="s">
        <v>10</v>
      </c>
      <c r="D705" s="29">
        <v>20.0</v>
      </c>
      <c r="E705" s="6" t="s">
        <v>19</v>
      </c>
    </row>
    <row r="706">
      <c r="A706" s="14" t="s">
        <v>35</v>
      </c>
      <c r="B706" s="16" t="s">
        <v>61</v>
      </c>
      <c r="C706" s="14" t="s">
        <v>18</v>
      </c>
      <c r="D706" s="29">
        <v>1.0</v>
      </c>
      <c r="E706" s="6" t="s">
        <v>19</v>
      </c>
    </row>
    <row r="707">
      <c r="A707" s="14" t="s">
        <v>35</v>
      </c>
      <c r="B707" s="16" t="s">
        <v>61</v>
      </c>
      <c r="C707" s="14" t="s">
        <v>20</v>
      </c>
      <c r="D707" s="29">
        <v>3.0</v>
      </c>
      <c r="E707" s="6" t="s">
        <v>19</v>
      </c>
    </row>
    <row r="708">
      <c r="A708" s="14" t="s">
        <v>35</v>
      </c>
      <c r="B708" s="16" t="s">
        <v>61</v>
      </c>
      <c r="C708" s="14" t="s">
        <v>24</v>
      </c>
      <c r="D708" s="29">
        <v>8.0</v>
      </c>
      <c r="E708" s="6" t="s">
        <v>19</v>
      </c>
    </row>
    <row r="709">
      <c r="A709" s="14" t="s">
        <v>35</v>
      </c>
      <c r="B709" s="16" t="s">
        <v>61</v>
      </c>
      <c r="C709" s="14" t="s">
        <v>10</v>
      </c>
      <c r="D709" s="29">
        <v>20.0</v>
      </c>
      <c r="E709" s="6" t="s">
        <v>19</v>
      </c>
    </row>
    <row r="710">
      <c r="A710" s="14" t="s">
        <v>35</v>
      </c>
      <c r="B710" s="16" t="s">
        <v>62</v>
      </c>
      <c r="C710" s="14" t="s">
        <v>18</v>
      </c>
      <c r="D710" s="29">
        <v>1.0</v>
      </c>
      <c r="E710" s="6" t="s">
        <v>19</v>
      </c>
    </row>
    <row r="711">
      <c r="A711" s="14" t="s">
        <v>35</v>
      </c>
      <c r="B711" s="16" t="s">
        <v>62</v>
      </c>
      <c r="C711" s="14" t="s">
        <v>20</v>
      </c>
      <c r="D711" s="29">
        <v>3.0</v>
      </c>
      <c r="E711" s="6" t="s">
        <v>19</v>
      </c>
    </row>
    <row r="712">
      <c r="A712" s="14" t="s">
        <v>35</v>
      </c>
      <c r="B712" s="16" t="s">
        <v>62</v>
      </c>
      <c r="C712" s="14" t="s">
        <v>24</v>
      </c>
      <c r="D712" s="29">
        <v>8.0</v>
      </c>
      <c r="E712" s="6" t="s">
        <v>19</v>
      </c>
    </row>
    <row r="713">
      <c r="A713" s="14" t="s">
        <v>35</v>
      </c>
      <c r="B713" s="16" t="s">
        <v>62</v>
      </c>
      <c r="C713" s="14" t="s">
        <v>10</v>
      </c>
      <c r="D713" s="29">
        <v>20.0</v>
      </c>
      <c r="E713" s="6" t="s">
        <v>19</v>
      </c>
    </row>
    <row r="714">
      <c r="A714" s="14" t="s">
        <v>35</v>
      </c>
      <c r="B714" s="16" t="s">
        <v>63</v>
      </c>
      <c r="C714" s="14" t="s">
        <v>18</v>
      </c>
      <c r="D714" s="29">
        <v>1.0</v>
      </c>
      <c r="E714" s="6" t="s">
        <v>19</v>
      </c>
    </row>
    <row r="715">
      <c r="A715" s="14" t="s">
        <v>35</v>
      </c>
      <c r="B715" s="16" t="s">
        <v>63</v>
      </c>
      <c r="C715" s="14" t="s">
        <v>20</v>
      </c>
      <c r="D715" s="29">
        <v>3.0</v>
      </c>
      <c r="E715" s="6" t="s">
        <v>19</v>
      </c>
    </row>
    <row r="716">
      <c r="A716" s="14" t="s">
        <v>35</v>
      </c>
      <c r="B716" s="16" t="s">
        <v>63</v>
      </c>
      <c r="C716" s="14" t="s">
        <v>24</v>
      </c>
      <c r="D716" s="29">
        <v>8.0</v>
      </c>
      <c r="E716" s="6" t="s">
        <v>19</v>
      </c>
    </row>
    <row r="717">
      <c r="A717" s="14" t="s">
        <v>35</v>
      </c>
      <c r="B717" s="16" t="s">
        <v>63</v>
      </c>
      <c r="C717" s="14" t="s">
        <v>10</v>
      </c>
      <c r="D717" s="29">
        <v>20.0</v>
      </c>
      <c r="E717" s="6" t="s">
        <v>19</v>
      </c>
    </row>
    <row r="718">
      <c r="A718" s="14" t="s">
        <v>35</v>
      </c>
      <c r="B718" s="16" t="s">
        <v>64</v>
      </c>
      <c r="C718" s="14" t="s">
        <v>18</v>
      </c>
      <c r="D718" s="29">
        <v>1.0</v>
      </c>
      <c r="E718" s="6" t="s">
        <v>19</v>
      </c>
    </row>
    <row r="719">
      <c r="A719" s="14" t="s">
        <v>35</v>
      </c>
      <c r="B719" s="16" t="s">
        <v>64</v>
      </c>
      <c r="C719" s="14" t="s">
        <v>20</v>
      </c>
      <c r="D719" s="29">
        <v>3.0</v>
      </c>
      <c r="E719" s="6" t="s">
        <v>19</v>
      </c>
    </row>
    <row r="720">
      <c r="A720" s="14" t="s">
        <v>35</v>
      </c>
      <c r="B720" s="16" t="s">
        <v>64</v>
      </c>
      <c r="C720" s="14" t="s">
        <v>24</v>
      </c>
      <c r="D720" s="29">
        <v>8.0</v>
      </c>
      <c r="E720" s="6" t="s">
        <v>19</v>
      </c>
    </row>
    <row r="721">
      <c r="A721" s="14" t="s">
        <v>35</v>
      </c>
      <c r="B721" s="16" t="s">
        <v>64</v>
      </c>
      <c r="C721" s="14" t="s">
        <v>10</v>
      </c>
      <c r="D721" s="29">
        <v>20.0</v>
      </c>
      <c r="E721" s="6" t="s">
        <v>19</v>
      </c>
    </row>
    <row r="722">
      <c r="A722" s="6" t="s">
        <v>39</v>
      </c>
      <c r="B722" s="16" t="s">
        <v>5</v>
      </c>
      <c r="C722" s="14" t="s">
        <v>18</v>
      </c>
      <c r="D722" s="29">
        <v>120.0</v>
      </c>
      <c r="E722" s="6" t="s">
        <v>65</v>
      </c>
    </row>
    <row r="723">
      <c r="A723" s="6" t="s">
        <v>39</v>
      </c>
      <c r="B723" s="16" t="s">
        <v>5</v>
      </c>
      <c r="C723" s="14" t="s">
        <v>20</v>
      </c>
      <c r="D723" s="29">
        <v>120.0</v>
      </c>
      <c r="E723" s="6" t="s">
        <v>65</v>
      </c>
    </row>
    <row r="724">
      <c r="A724" s="6" t="s">
        <v>39</v>
      </c>
      <c r="B724" s="16" t="s">
        <v>5</v>
      </c>
      <c r="C724" s="14" t="s">
        <v>24</v>
      </c>
      <c r="D724" s="29">
        <v>120.0</v>
      </c>
      <c r="E724" s="6" t="s">
        <v>65</v>
      </c>
    </row>
    <row r="725">
      <c r="A725" s="6" t="s">
        <v>39</v>
      </c>
      <c r="B725" s="16" t="s">
        <v>5</v>
      </c>
      <c r="C725" s="14" t="s">
        <v>10</v>
      </c>
      <c r="D725" s="29">
        <v>120.0</v>
      </c>
      <c r="E725" s="6" t="s">
        <v>65</v>
      </c>
    </row>
    <row r="726">
      <c r="A726" s="6" t="s">
        <v>39</v>
      </c>
      <c r="B726" s="16" t="s">
        <v>27</v>
      </c>
      <c r="C726" s="14" t="s">
        <v>18</v>
      </c>
      <c r="D726" s="29">
        <v>120.0</v>
      </c>
      <c r="E726" s="6" t="s">
        <v>65</v>
      </c>
    </row>
    <row r="727">
      <c r="A727" s="6" t="s">
        <v>39</v>
      </c>
      <c r="B727" s="16" t="s">
        <v>27</v>
      </c>
      <c r="C727" s="14" t="s">
        <v>20</v>
      </c>
      <c r="D727" s="29">
        <v>120.0</v>
      </c>
      <c r="E727" s="6" t="s">
        <v>65</v>
      </c>
    </row>
    <row r="728">
      <c r="A728" s="6" t="s">
        <v>39</v>
      </c>
      <c r="B728" s="16" t="s">
        <v>27</v>
      </c>
      <c r="C728" s="14" t="s">
        <v>24</v>
      </c>
      <c r="D728" s="29">
        <v>120.0</v>
      </c>
      <c r="E728" s="6" t="s">
        <v>65</v>
      </c>
    </row>
    <row r="729">
      <c r="A729" s="6" t="s">
        <v>39</v>
      </c>
      <c r="B729" s="16" t="s">
        <v>27</v>
      </c>
      <c r="C729" s="14" t="s">
        <v>10</v>
      </c>
      <c r="D729" s="29">
        <v>120.0</v>
      </c>
      <c r="E729" s="6" t="s">
        <v>65</v>
      </c>
    </row>
    <row r="730">
      <c r="A730" s="6" t="s">
        <v>39</v>
      </c>
      <c r="B730" s="16" t="s">
        <v>32</v>
      </c>
      <c r="C730" s="14" t="s">
        <v>18</v>
      </c>
      <c r="D730" s="29">
        <v>120.0</v>
      </c>
      <c r="E730" s="6" t="s">
        <v>65</v>
      </c>
    </row>
    <row r="731">
      <c r="A731" s="6" t="s">
        <v>39</v>
      </c>
      <c r="B731" s="16" t="s">
        <v>32</v>
      </c>
      <c r="C731" s="14" t="s">
        <v>20</v>
      </c>
      <c r="D731" s="29">
        <v>120.0</v>
      </c>
      <c r="E731" s="6" t="s">
        <v>65</v>
      </c>
    </row>
    <row r="732">
      <c r="A732" s="6" t="s">
        <v>39</v>
      </c>
      <c r="B732" s="16" t="s">
        <v>32</v>
      </c>
      <c r="C732" s="14" t="s">
        <v>24</v>
      </c>
      <c r="D732" s="29">
        <v>120.0</v>
      </c>
      <c r="E732" s="6" t="s">
        <v>65</v>
      </c>
    </row>
    <row r="733">
      <c r="A733" s="6" t="s">
        <v>39</v>
      </c>
      <c r="B733" s="16" t="s">
        <v>32</v>
      </c>
      <c r="C733" s="14" t="s">
        <v>10</v>
      </c>
      <c r="D733" s="29">
        <v>120.0</v>
      </c>
      <c r="E733" s="6" t="s">
        <v>65</v>
      </c>
    </row>
    <row r="734">
      <c r="A734" s="6" t="s">
        <v>39</v>
      </c>
      <c r="B734" s="16" t="s">
        <v>37</v>
      </c>
      <c r="C734" s="14" t="s">
        <v>18</v>
      </c>
      <c r="D734" s="29">
        <v>120.0</v>
      </c>
      <c r="E734" s="6" t="s">
        <v>65</v>
      </c>
    </row>
    <row r="735">
      <c r="A735" s="6" t="s">
        <v>39</v>
      </c>
      <c r="B735" s="16" t="s">
        <v>37</v>
      </c>
      <c r="C735" s="14" t="s">
        <v>20</v>
      </c>
      <c r="D735" s="29">
        <v>120.0</v>
      </c>
      <c r="E735" s="6" t="s">
        <v>65</v>
      </c>
    </row>
    <row r="736">
      <c r="A736" s="6" t="s">
        <v>39</v>
      </c>
      <c r="B736" s="16" t="s">
        <v>37</v>
      </c>
      <c r="C736" s="14" t="s">
        <v>24</v>
      </c>
      <c r="D736" s="29">
        <v>120.0</v>
      </c>
      <c r="E736" s="6" t="s">
        <v>65</v>
      </c>
    </row>
    <row r="737">
      <c r="A737" s="6" t="s">
        <v>39</v>
      </c>
      <c r="B737" s="16" t="s">
        <v>37</v>
      </c>
      <c r="C737" s="14" t="s">
        <v>10</v>
      </c>
      <c r="D737" s="29">
        <v>120.0</v>
      </c>
      <c r="E737" s="6" t="s">
        <v>65</v>
      </c>
    </row>
    <row r="738">
      <c r="A738" s="6" t="s">
        <v>39</v>
      </c>
      <c r="B738" s="16" t="s">
        <v>40</v>
      </c>
      <c r="C738" s="14" t="s">
        <v>18</v>
      </c>
      <c r="D738" s="29">
        <v>120.0</v>
      </c>
      <c r="E738" s="6" t="s">
        <v>65</v>
      </c>
    </row>
    <row r="739">
      <c r="A739" s="6" t="s">
        <v>39</v>
      </c>
      <c r="B739" s="16" t="s">
        <v>40</v>
      </c>
      <c r="C739" s="14" t="s">
        <v>20</v>
      </c>
      <c r="D739" s="29">
        <v>120.0</v>
      </c>
      <c r="E739" s="6" t="s">
        <v>65</v>
      </c>
    </row>
    <row r="740">
      <c r="A740" s="6" t="s">
        <v>39</v>
      </c>
      <c r="B740" s="16" t="s">
        <v>40</v>
      </c>
      <c r="C740" s="14" t="s">
        <v>24</v>
      </c>
      <c r="D740" s="29">
        <v>120.0</v>
      </c>
      <c r="E740" s="6" t="s">
        <v>65</v>
      </c>
    </row>
    <row r="741">
      <c r="A741" s="6" t="s">
        <v>39</v>
      </c>
      <c r="B741" s="16" t="s">
        <v>40</v>
      </c>
      <c r="C741" s="14" t="s">
        <v>10</v>
      </c>
      <c r="D741" s="29">
        <v>120.0</v>
      </c>
      <c r="E741" s="6" t="s">
        <v>65</v>
      </c>
    </row>
    <row r="742">
      <c r="A742" s="6" t="s">
        <v>39</v>
      </c>
      <c r="B742" s="16" t="s">
        <v>42</v>
      </c>
      <c r="C742" s="14" t="s">
        <v>18</v>
      </c>
      <c r="D742" s="29">
        <v>120.0</v>
      </c>
      <c r="E742" s="6" t="s">
        <v>65</v>
      </c>
    </row>
    <row r="743">
      <c r="A743" s="6" t="s">
        <v>39</v>
      </c>
      <c r="B743" s="16" t="s">
        <v>42</v>
      </c>
      <c r="C743" s="14" t="s">
        <v>20</v>
      </c>
      <c r="D743" s="29">
        <v>120.0</v>
      </c>
      <c r="E743" s="6" t="s">
        <v>65</v>
      </c>
    </row>
    <row r="744">
      <c r="A744" s="6" t="s">
        <v>39</v>
      </c>
      <c r="B744" s="16" t="s">
        <v>42</v>
      </c>
      <c r="C744" s="14" t="s">
        <v>24</v>
      </c>
      <c r="D744" s="29">
        <v>120.0</v>
      </c>
      <c r="E744" s="6" t="s">
        <v>65</v>
      </c>
    </row>
    <row r="745">
      <c r="A745" s="6" t="s">
        <v>39</v>
      </c>
      <c r="B745" s="16" t="s">
        <v>42</v>
      </c>
      <c r="C745" s="14" t="s">
        <v>10</v>
      </c>
      <c r="D745" s="29">
        <v>120.0</v>
      </c>
      <c r="E745" s="6" t="s">
        <v>65</v>
      </c>
    </row>
    <row r="746">
      <c r="A746" s="6" t="s">
        <v>39</v>
      </c>
      <c r="B746" s="16" t="s">
        <v>43</v>
      </c>
      <c r="C746" s="14" t="s">
        <v>18</v>
      </c>
      <c r="D746" s="29">
        <v>120.0</v>
      </c>
      <c r="E746" s="6" t="s">
        <v>65</v>
      </c>
    </row>
    <row r="747">
      <c r="A747" s="6" t="s">
        <v>39</v>
      </c>
      <c r="B747" s="16" t="s">
        <v>43</v>
      </c>
      <c r="C747" s="14" t="s">
        <v>20</v>
      </c>
      <c r="D747" s="29">
        <v>120.0</v>
      </c>
      <c r="E747" s="6" t="s">
        <v>65</v>
      </c>
    </row>
    <row r="748">
      <c r="A748" s="6" t="s">
        <v>39</v>
      </c>
      <c r="B748" s="16" t="s">
        <v>43</v>
      </c>
      <c r="C748" s="14" t="s">
        <v>24</v>
      </c>
      <c r="D748" s="29">
        <v>120.0</v>
      </c>
      <c r="E748" s="6" t="s">
        <v>65</v>
      </c>
    </row>
    <row r="749">
      <c r="A749" s="6" t="s">
        <v>39</v>
      </c>
      <c r="B749" s="16" t="s">
        <v>43</v>
      </c>
      <c r="C749" s="14" t="s">
        <v>10</v>
      </c>
      <c r="D749" s="29">
        <v>120.0</v>
      </c>
      <c r="E749" s="6" t="s">
        <v>65</v>
      </c>
    </row>
    <row r="750">
      <c r="A750" s="6" t="s">
        <v>39</v>
      </c>
      <c r="B750" s="16" t="s">
        <v>44</v>
      </c>
      <c r="C750" s="14" t="s">
        <v>18</v>
      </c>
      <c r="D750" s="29">
        <v>120.0</v>
      </c>
      <c r="E750" s="6" t="s">
        <v>65</v>
      </c>
    </row>
    <row r="751">
      <c r="A751" s="6" t="s">
        <v>39</v>
      </c>
      <c r="B751" s="16" t="s">
        <v>44</v>
      </c>
      <c r="C751" s="14" t="s">
        <v>20</v>
      </c>
      <c r="D751" s="29">
        <v>120.0</v>
      </c>
      <c r="E751" s="6" t="s">
        <v>65</v>
      </c>
    </row>
    <row r="752">
      <c r="A752" s="6" t="s">
        <v>39</v>
      </c>
      <c r="B752" s="16" t="s">
        <v>44</v>
      </c>
      <c r="C752" s="14" t="s">
        <v>24</v>
      </c>
      <c r="D752" s="29">
        <v>120.0</v>
      </c>
      <c r="E752" s="6" t="s">
        <v>65</v>
      </c>
    </row>
    <row r="753">
      <c r="A753" s="6" t="s">
        <v>39</v>
      </c>
      <c r="B753" s="16" t="s">
        <v>44</v>
      </c>
      <c r="C753" s="14" t="s">
        <v>10</v>
      </c>
      <c r="D753" s="29">
        <v>120.0</v>
      </c>
      <c r="E753" s="6" t="s">
        <v>65</v>
      </c>
    </row>
    <row r="754">
      <c r="A754" s="6" t="s">
        <v>39</v>
      </c>
      <c r="B754" s="16" t="s">
        <v>49</v>
      </c>
      <c r="C754" s="14" t="s">
        <v>18</v>
      </c>
      <c r="D754" s="29">
        <v>120.0</v>
      </c>
      <c r="E754" s="6" t="s">
        <v>65</v>
      </c>
    </row>
    <row r="755">
      <c r="A755" s="6" t="s">
        <v>39</v>
      </c>
      <c r="B755" s="16" t="s">
        <v>49</v>
      </c>
      <c r="C755" s="14" t="s">
        <v>20</v>
      </c>
      <c r="D755" s="29">
        <v>120.0</v>
      </c>
      <c r="E755" s="6" t="s">
        <v>65</v>
      </c>
    </row>
    <row r="756">
      <c r="A756" s="6" t="s">
        <v>39</v>
      </c>
      <c r="B756" s="16" t="s">
        <v>49</v>
      </c>
      <c r="C756" s="14" t="s">
        <v>24</v>
      </c>
      <c r="D756" s="29">
        <v>120.0</v>
      </c>
      <c r="E756" s="6" t="s">
        <v>65</v>
      </c>
    </row>
    <row r="757">
      <c r="A757" s="6" t="s">
        <v>39</v>
      </c>
      <c r="B757" s="16" t="s">
        <v>49</v>
      </c>
      <c r="C757" s="14" t="s">
        <v>10</v>
      </c>
      <c r="D757" s="29">
        <v>120.0</v>
      </c>
      <c r="E757" s="6" t="s">
        <v>65</v>
      </c>
    </row>
    <row r="758">
      <c r="A758" s="6" t="s">
        <v>39</v>
      </c>
      <c r="B758" s="16" t="s">
        <v>50</v>
      </c>
      <c r="C758" s="14" t="s">
        <v>18</v>
      </c>
      <c r="D758" s="29">
        <v>120.0</v>
      </c>
      <c r="E758" s="6" t="s">
        <v>65</v>
      </c>
    </row>
    <row r="759">
      <c r="A759" s="6" t="s">
        <v>39</v>
      </c>
      <c r="B759" s="16" t="s">
        <v>50</v>
      </c>
      <c r="C759" s="14" t="s">
        <v>20</v>
      </c>
      <c r="D759" s="29">
        <v>120.0</v>
      </c>
      <c r="E759" s="6" t="s">
        <v>65</v>
      </c>
    </row>
    <row r="760">
      <c r="A760" s="6" t="s">
        <v>39</v>
      </c>
      <c r="B760" s="16" t="s">
        <v>50</v>
      </c>
      <c r="C760" s="14" t="s">
        <v>24</v>
      </c>
      <c r="D760" s="29">
        <v>120.0</v>
      </c>
      <c r="E760" s="6" t="s">
        <v>65</v>
      </c>
    </row>
    <row r="761">
      <c r="A761" s="6" t="s">
        <v>39</v>
      </c>
      <c r="B761" s="16" t="s">
        <v>50</v>
      </c>
      <c r="C761" s="14" t="s">
        <v>10</v>
      </c>
      <c r="D761" s="29">
        <v>120.0</v>
      </c>
      <c r="E761" s="6" t="s">
        <v>65</v>
      </c>
    </row>
    <row r="762">
      <c r="A762" s="6" t="s">
        <v>39</v>
      </c>
      <c r="B762" s="16" t="s">
        <v>11</v>
      </c>
      <c r="C762" s="14" t="s">
        <v>18</v>
      </c>
      <c r="D762" s="29">
        <v>120.0</v>
      </c>
      <c r="E762" s="6" t="s">
        <v>65</v>
      </c>
    </row>
    <row r="763">
      <c r="A763" s="6" t="s">
        <v>39</v>
      </c>
      <c r="B763" s="16" t="s">
        <v>11</v>
      </c>
      <c r="C763" s="14" t="s">
        <v>20</v>
      </c>
      <c r="D763" s="29">
        <v>120.0</v>
      </c>
      <c r="E763" s="6" t="s">
        <v>65</v>
      </c>
    </row>
    <row r="764">
      <c r="A764" s="6" t="s">
        <v>39</v>
      </c>
      <c r="B764" s="16" t="s">
        <v>11</v>
      </c>
      <c r="C764" s="14" t="s">
        <v>24</v>
      </c>
      <c r="D764" s="29">
        <v>120.0</v>
      </c>
      <c r="E764" s="6" t="s">
        <v>65</v>
      </c>
    </row>
    <row r="765">
      <c r="A765" s="6" t="s">
        <v>39</v>
      </c>
      <c r="B765" s="16" t="s">
        <v>11</v>
      </c>
      <c r="C765" s="14" t="s">
        <v>10</v>
      </c>
      <c r="D765" s="29">
        <v>120.0</v>
      </c>
      <c r="E765" s="6" t="s">
        <v>65</v>
      </c>
    </row>
    <row r="766">
      <c r="A766" s="6" t="s">
        <v>39</v>
      </c>
      <c r="B766" s="16" t="s">
        <v>55</v>
      </c>
      <c r="C766" s="14" t="s">
        <v>18</v>
      </c>
      <c r="D766" s="29">
        <v>120.0</v>
      </c>
      <c r="E766" s="6" t="s">
        <v>65</v>
      </c>
    </row>
    <row r="767">
      <c r="A767" s="6" t="s">
        <v>39</v>
      </c>
      <c r="B767" s="16" t="s">
        <v>55</v>
      </c>
      <c r="C767" s="14" t="s">
        <v>20</v>
      </c>
      <c r="D767" s="29">
        <v>120.0</v>
      </c>
      <c r="E767" s="6" t="s">
        <v>65</v>
      </c>
    </row>
    <row r="768">
      <c r="A768" s="6" t="s">
        <v>39</v>
      </c>
      <c r="B768" s="16" t="s">
        <v>55</v>
      </c>
      <c r="C768" s="14" t="s">
        <v>24</v>
      </c>
      <c r="D768" s="29">
        <v>120.0</v>
      </c>
      <c r="E768" s="6" t="s">
        <v>65</v>
      </c>
    </row>
    <row r="769">
      <c r="A769" s="6" t="s">
        <v>39</v>
      </c>
      <c r="B769" s="16" t="s">
        <v>55</v>
      </c>
      <c r="C769" s="14" t="s">
        <v>10</v>
      </c>
      <c r="D769" s="29">
        <v>120.0</v>
      </c>
      <c r="E769" s="6" t="s">
        <v>65</v>
      </c>
    </row>
    <row r="770">
      <c r="A770" s="6" t="s">
        <v>39</v>
      </c>
      <c r="B770" s="16" t="s">
        <v>57</v>
      </c>
      <c r="C770" s="14" t="s">
        <v>18</v>
      </c>
      <c r="D770" s="29">
        <v>120.0</v>
      </c>
      <c r="E770" s="6" t="s">
        <v>65</v>
      </c>
    </row>
    <row r="771">
      <c r="A771" s="6" t="s">
        <v>39</v>
      </c>
      <c r="B771" s="16" t="s">
        <v>57</v>
      </c>
      <c r="C771" s="14" t="s">
        <v>20</v>
      </c>
      <c r="D771" s="29">
        <v>120.0</v>
      </c>
      <c r="E771" s="6" t="s">
        <v>65</v>
      </c>
    </row>
    <row r="772">
      <c r="A772" s="6" t="s">
        <v>39</v>
      </c>
      <c r="B772" s="16" t="s">
        <v>57</v>
      </c>
      <c r="C772" s="14" t="s">
        <v>24</v>
      </c>
      <c r="D772" s="29">
        <v>120.0</v>
      </c>
      <c r="E772" s="6" t="s">
        <v>65</v>
      </c>
    </row>
    <row r="773">
      <c r="A773" s="6" t="s">
        <v>39</v>
      </c>
      <c r="B773" s="16" t="s">
        <v>57</v>
      </c>
      <c r="C773" s="14" t="s">
        <v>10</v>
      </c>
      <c r="D773" s="29">
        <v>120.0</v>
      </c>
      <c r="E773" s="6" t="s">
        <v>65</v>
      </c>
    </row>
    <row r="774">
      <c r="A774" s="6" t="s">
        <v>39</v>
      </c>
      <c r="B774" s="16" t="s">
        <v>58</v>
      </c>
      <c r="C774" s="14" t="s">
        <v>18</v>
      </c>
      <c r="D774" s="29">
        <v>120.0</v>
      </c>
      <c r="E774" s="6" t="s">
        <v>65</v>
      </c>
    </row>
    <row r="775">
      <c r="A775" s="6" t="s">
        <v>39</v>
      </c>
      <c r="B775" s="16" t="s">
        <v>58</v>
      </c>
      <c r="C775" s="14" t="s">
        <v>20</v>
      </c>
      <c r="D775" s="29">
        <v>120.0</v>
      </c>
      <c r="E775" s="6" t="s">
        <v>65</v>
      </c>
    </row>
    <row r="776">
      <c r="A776" s="6" t="s">
        <v>39</v>
      </c>
      <c r="B776" s="16" t="s">
        <v>58</v>
      </c>
      <c r="C776" s="14" t="s">
        <v>24</v>
      </c>
      <c r="D776" s="29">
        <v>120.0</v>
      </c>
      <c r="E776" s="6" t="s">
        <v>65</v>
      </c>
    </row>
    <row r="777">
      <c r="A777" s="6" t="s">
        <v>39</v>
      </c>
      <c r="B777" s="16" t="s">
        <v>58</v>
      </c>
      <c r="C777" s="14" t="s">
        <v>10</v>
      </c>
      <c r="D777" s="29">
        <v>120.0</v>
      </c>
      <c r="E777" s="6" t="s">
        <v>65</v>
      </c>
    </row>
    <row r="778">
      <c r="A778" s="6" t="s">
        <v>39</v>
      </c>
      <c r="B778" s="16" t="s">
        <v>59</v>
      </c>
      <c r="C778" s="14" t="s">
        <v>18</v>
      </c>
      <c r="D778" s="29">
        <v>120.0</v>
      </c>
      <c r="E778" s="6" t="s">
        <v>65</v>
      </c>
    </row>
    <row r="779">
      <c r="A779" s="6" t="s">
        <v>39</v>
      </c>
      <c r="B779" s="16" t="s">
        <v>59</v>
      </c>
      <c r="C779" s="14" t="s">
        <v>20</v>
      </c>
      <c r="D779" s="29">
        <v>120.0</v>
      </c>
      <c r="E779" s="6" t="s">
        <v>65</v>
      </c>
    </row>
    <row r="780">
      <c r="A780" s="6" t="s">
        <v>39</v>
      </c>
      <c r="B780" s="16" t="s">
        <v>59</v>
      </c>
      <c r="C780" s="14" t="s">
        <v>24</v>
      </c>
      <c r="D780" s="29">
        <v>120.0</v>
      </c>
      <c r="E780" s="6" t="s">
        <v>65</v>
      </c>
    </row>
    <row r="781">
      <c r="A781" s="6" t="s">
        <v>39</v>
      </c>
      <c r="B781" s="16" t="s">
        <v>59</v>
      </c>
      <c r="C781" s="14" t="s">
        <v>10</v>
      </c>
      <c r="D781" s="29">
        <v>120.0</v>
      </c>
      <c r="E781" s="6" t="s">
        <v>65</v>
      </c>
    </row>
    <row r="782">
      <c r="A782" s="6" t="s">
        <v>39</v>
      </c>
      <c r="B782" s="16" t="s">
        <v>60</v>
      </c>
      <c r="C782" s="14" t="s">
        <v>18</v>
      </c>
      <c r="D782" s="29">
        <v>120.0</v>
      </c>
      <c r="E782" s="6" t="s">
        <v>65</v>
      </c>
    </row>
    <row r="783">
      <c r="A783" s="6" t="s">
        <v>39</v>
      </c>
      <c r="B783" s="16" t="s">
        <v>60</v>
      </c>
      <c r="C783" s="14" t="s">
        <v>20</v>
      </c>
      <c r="D783" s="29">
        <v>120.0</v>
      </c>
      <c r="E783" s="6" t="s">
        <v>65</v>
      </c>
    </row>
    <row r="784">
      <c r="A784" s="6" t="s">
        <v>39</v>
      </c>
      <c r="B784" s="16" t="s">
        <v>60</v>
      </c>
      <c r="C784" s="14" t="s">
        <v>24</v>
      </c>
      <c r="D784" s="29">
        <v>120.0</v>
      </c>
      <c r="E784" s="6" t="s">
        <v>65</v>
      </c>
    </row>
    <row r="785">
      <c r="A785" s="6" t="s">
        <v>39</v>
      </c>
      <c r="B785" s="16" t="s">
        <v>60</v>
      </c>
      <c r="C785" s="14" t="s">
        <v>10</v>
      </c>
      <c r="D785" s="29">
        <v>120.0</v>
      </c>
      <c r="E785" s="6" t="s">
        <v>65</v>
      </c>
    </row>
    <row r="786">
      <c r="A786" s="6" t="s">
        <v>39</v>
      </c>
      <c r="B786" s="16" t="s">
        <v>61</v>
      </c>
      <c r="C786" s="14" t="s">
        <v>18</v>
      </c>
      <c r="D786" s="29">
        <v>120.0</v>
      </c>
      <c r="E786" s="6" t="s">
        <v>65</v>
      </c>
    </row>
    <row r="787">
      <c r="A787" s="6" t="s">
        <v>39</v>
      </c>
      <c r="B787" s="16" t="s">
        <v>61</v>
      </c>
      <c r="C787" s="14" t="s">
        <v>20</v>
      </c>
      <c r="D787" s="29">
        <v>120.0</v>
      </c>
      <c r="E787" s="6" t="s">
        <v>65</v>
      </c>
    </row>
    <row r="788">
      <c r="A788" s="6" t="s">
        <v>39</v>
      </c>
      <c r="B788" s="16" t="s">
        <v>61</v>
      </c>
      <c r="C788" s="14" t="s">
        <v>24</v>
      </c>
      <c r="D788" s="29">
        <v>120.0</v>
      </c>
      <c r="E788" s="6" t="s">
        <v>65</v>
      </c>
    </row>
    <row r="789">
      <c r="A789" s="6" t="s">
        <v>39</v>
      </c>
      <c r="B789" s="16" t="s">
        <v>61</v>
      </c>
      <c r="C789" s="14" t="s">
        <v>10</v>
      </c>
      <c r="D789" s="29">
        <v>120.0</v>
      </c>
      <c r="E789" s="6" t="s">
        <v>65</v>
      </c>
    </row>
    <row r="790">
      <c r="A790" s="6" t="s">
        <v>39</v>
      </c>
      <c r="B790" s="16" t="s">
        <v>62</v>
      </c>
      <c r="C790" s="14" t="s">
        <v>18</v>
      </c>
      <c r="D790" s="29">
        <v>120.0</v>
      </c>
      <c r="E790" s="6" t="s">
        <v>65</v>
      </c>
    </row>
    <row r="791">
      <c r="A791" s="6" t="s">
        <v>39</v>
      </c>
      <c r="B791" s="16" t="s">
        <v>62</v>
      </c>
      <c r="C791" s="14" t="s">
        <v>20</v>
      </c>
      <c r="D791" s="29">
        <v>120.0</v>
      </c>
      <c r="E791" s="6" t="s">
        <v>65</v>
      </c>
    </row>
    <row r="792">
      <c r="A792" s="6" t="s">
        <v>39</v>
      </c>
      <c r="B792" s="16" t="s">
        <v>62</v>
      </c>
      <c r="C792" s="14" t="s">
        <v>24</v>
      </c>
      <c r="D792" s="29">
        <v>120.0</v>
      </c>
      <c r="E792" s="6" t="s">
        <v>65</v>
      </c>
    </row>
    <row r="793">
      <c r="A793" s="6" t="s">
        <v>39</v>
      </c>
      <c r="B793" s="16" t="s">
        <v>62</v>
      </c>
      <c r="C793" s="14" t="s">
        <v>10</v>
      </c>
      <c r="D793" s="29">
        <v>120.0</v>
      </c>
      <c r="E793" s="6" t="s">
        <v>65</v>
      </c>
    </row>
    <row r="794">
      <c r="A794" s="6" t="s">
        <v>39</v>
      </c>
      <c r="B794" s="16" t="s">
        <v>63</v>
      </c>
      <c r="C794" s="14" t="s">
        <v>18</v>
      </c>
      <c r="D794" s="29">
        <v>120.0</v>
      </c>
      <c r="E794" s="6" t="s">
        <v>65</v>
      </c>
    </row>
    <row r="795">
      <c r="A795" s="6" t="s">
        <v>39</v>
      </c>
      <c r="B795" s="16" t="s">
        <v>63</v>
      </c>
      <c r="C795" s="14" t="s">
        <v>20</v>
      </c>
      <c r="D795" s="29">
        <v>120.0</v>
      </c>
      <c r="E795" s="6" t="s">
        <v>65</v>
      </c>
    </row>
    <row r="796">
      <c r="A796" s="6" t="s">
        <v>39</v>
      </c>
      <c r="B796" s="16" t="s">
        <v>63</v>
      </c>
      <c r="C796" s="14" t="s">
        <v>24</v>
      </c>
      <c r="D796" s="29">
        <v>120.0</v>
      </c>
      <c r="E796" s="6" t="s">
        <v>65</v>
      </c>
    </row>
    <row r="797">
      <c r="A797" s="6" t="s">
        <v>39</v>
      </c>
      <c r="B797" s="16" t="s">
        <v>63</v>
      </c>
      <c r="C797" s="14" t="s">
        <v>10</v>
      </c>
      <c r="D797" s="29">
        <v>120.0</v>
      </c>
      <c r="E797" s="6" t="s">
        <v>65</v>
      </c>
    </row>
    <row r="798">
      <c r="A798" s="6" t="s">
        <v>39</v>
      </c>
      <c r="B798" s="16" t="s">
        <v>64</v>
      </c>
      <c r="C798" s="14" t="s">
        <v>18</v>
      </c>
      <c r="D798" s="29">
        <v>120.0</v>
      </c>
      <c r="E798" s="6" t="s">
        <v>65</v>
      </c>
    </row>
    <row r="799">
      <c r="A799" s="6" t="s">
        <v>39</v>
      </c>
      <c r="B799" s="16" t="s">
        <v>64</v>
      </c>
      <c r="C799" s="14" t="s">
        <v>20</v>
      </c>
      <c r="D799" s="29">
        <v>120.0</v>
      </c>
      <c r="E799" s="6" t="s">
        <v>65</v>
      </c>
    </row>
    <row r="800">
      <c r="A800" s="6" t="s">
        <v>39</v>
      </c>
      <c r="B800" s="16" t="s">
        <v>64</v>
      </c>
      <c r="C800" s="14" t="s">
        <v>24</v>
      </c>
      <c r="D800" s="29">
        <v>120.0</v>
      </c>
      <c r="E800" s="6" t="s">
        <v>65</v>
      </c>
    </row>
    <row r="801">
      <c r="A801" s="6" t="s">
        <v>39</v>
      </c>
      <c r="B801" s="16" t="s">
        <v>64</v>
      </c>
      <c r="C801" s="14" t="s">
        <v>10</v>
      </c>
      <c r="D801" s="29">
        <v>120.0</v>
      </c>
      <c r="E801" s="6" t="s">
        <v>65</v>
      </c>
    </row>
    <row r="802">
      <c r="A802" s="6" t="s">
        <v>7</v>
      </c>
      <c r="B802" s="16" t="s">
        <v>5</v>
      </c>
      <c r="C802" s="14" t="s">
        <v>18</v>
      </c>
      <c r="D802" s="29">
        <v>200.0</v>
      </c>
      <c r="E802" s="6" t="s">
        <v>65</v>
      </c>
    </row>
    <row r="803">
      <c r="A803" s="6" t="s">
        <v>7</v>
      </c>
      <c r="B803" s="16" t="s">
        <v>5</v>
      </c>
      <c r="C803" s="14" t="s">
        <v>20</v>
      </c>
      <c r="D803" s="29">
        <v>200.0</v>
      </c>
      <c r="E803" s="6" t="s">
        <v>65</v>
      </c>
    </row>
    <row r="804">
      <c r="A804" s="6" t="s">
        <v>7</v>
      </c>
      <c r="B804" s="16" t="s">
        <v>5</v>
      </c>
      <c r="C804" s="14" t="s">
        <v>24</v>
      </c>
      <c r="D804" s="29">
        <v>200.0</v>
      </c>
      <c r="E804" s="6" t="s">
        <v>65</v>
      </c>
    </row>
    <row r="805">
      <c r="A805" s="6" t="s">
        <v>7</v>
      </c>
      <c r="B805" s="16" t="s">
        <v>5</v>
      </c>
      <c r="C805" s="14" t="s">
        <v>10</v>
      </c>
      <c r="D805" s="29">
        <v>200.0</v>
      </c>
      <c r="E805" s="6" t="s">
        <v>65</v>
      </c>
    </row>
    <row r="806">
      <c r="A806" s="6" t="s">
        <v>7</v>
      </c>
      <c r="B806" s="16" t="s">
        <v>27</v>
      </c>
      <c r="C806" s="14" t="s">
        <v>18</v>
      </c>
      <c r="D806" s="29">
        <v>200.0</v>
      </c>
      <c r="E806" s="6" t="s">
        <v>65</v>
      </c>
    </row>
    <row r="807">
      <c r="A807" s="6" t="s">
        <v>7</v>
      </c>
      <c r="B807" s="16" t="s">
        <v>27</v>
      </c>
      <c r="C807" s="14" t="s">
        <v>20</v>
      </c>
      <c r="D807" s="29">
        <v>200.0</v>
      </c>
      <c r="E807" s="6" t="s">
        <v>65</v>
      </c>
    </row>
    <row r="808">
      <c r="A808" s="6" t="s">
        <v>7</v>
      </c>
      <c r="B808" s="16" t="s">
        <v>27</v>
      </c>
      <c r="C808" s="14" t="s">
        <v>24</v>
      </c>
      <c r="D808" s="29">
        <v>200.0</v>
      </c>
      <c r="E808" s="6" t="s">
        <v>65</v>
      </c>
    </row>
    <row r="809">
      <c r="A809" s="6" t="s">
        <v>7</v>
      </c>
      <c r="B809" s="16" t="s">
        <v>27</v>
      </c>
      <c r="C809" s="14" t="s">
        <v>10</v>
      </c>
      <c r="D809" s="29">
        <v>200.0</v>
      </c>
      <c r="E809" s="6" t="s">
        <v>65</v>
      </c>
    </row>
    <row r="810">
      <c r="A810" s="6" t="s">
        <v>7</v>
      </c>
      <c r="B810" s="16" t="s">
        <v>32</v>
      </c>
      <c r="C810" s="14" t="s">
        <v>18</v>
      </c>
      <c r="D810" s="29">
        <v>200.0</v>
      </c>
      <c r="E810" s="6" t="s">
        <v>65</v>
      </c>
    </row>
    <row r="811">
      <c r="A811" s="6" t="s">
        <v>7</v>
      </c>
      <c r="B811" s="16" t="s">
        <v>32</v>
      </c>
      <c r="C811" s="14" t="s">
        <v>20</v>
      </c>
      <c r="D811" s="29">
        <v>200.0</v>
      </c>
      <c r="E811" s="6" t="s">
        <v>65</v>
      </c>
    </row>
    <row r="812">
      <c r="A812" s="6" t="s">
        <v>7</v>
      </c>
      <c r="B812" s="16" t="s">
        <v>32</v>
      </c>
      <c r="C812" s="14" t="s">
        <v>24</v>
      </c>
      <c r="D812" s="29">
        <v>200.0</v>
      </c>
      <c r="E812" s="6" t="s">
        <v>65</v>
      </c>
    </row>
    <row r="813">
      <c r="A813" s="6" t="s">
        <v>7</v>
      </c>
      <c r="B813" s="16" t="s">
        <v>32</v>
      </c>
      <c r="C813" s="14" t="s">
        <v>10</v>
      </c>
      <c r="D813" s="29">
        <v>200.0</v>
      </c>
      <c r="E813" s="6" t="s">
        <v>65</v>
      </c>
    </row>
    <row r="814">
      <c r="A814" s="6" t="s">
        <v>7</v>
      </c>
      <c r="B814" s="16" t="s">
        <v>37</v>
      </c>
      <c r="C814" s="14" t="s">
        <v>18</v>
      </c>
      <c r="D814" s="29">
        <v>200.0</v>
      </c>
      <c r="E814" s="6" t="s">
        <v>65</v>
      </c>
    </row>
    <row r="815">
      <c r="A815" s="6" t="s">
        <v>7</v>
      </c>
      <c r="B815" s="16" t="s">
        <v>37</v>
      </c>
      <c r="C815" s="14" t="s">
        <v>20</v>
      </c>
      <c r="D815" s="29">
        <v>200.0</v>
      </c>
      <c r="E815" s="6" t="s">
        <v>65</v>
      </c>
    </row>
    <row r="816">
      <c r="A816" s="6" t="s">
        <v>7</v>
      </c>
      <c r="B816" s="16" t="s">
        <v>37</v>
      </c>
      <c r="C816" s="14" t="s">
        <v>24</v>
      </c>
      <c r="D816" s="29">
        <v>200.0</v>
      </c>
      <c r="E816" s="6" t="s">
        <v>65</v>
      </c>
    </row>
    <row r="817">
      <c r="A817" s="6" t="s">
        <v>7</v>
      </c>
      <c r="B817" s="16" t="s">
        <v>37</v>
      </c>
      <c r="C817" s="14" t="s">
        <v>10</v>
      </c>
      <c r="D817" s="29">
        <v>200.0</v>
      </c>
      <c r="E817" s="6" t="s">
        <v>65</v>
      </c>
    </row>
    <row r="818">
      <c r="A818" s="6" t="s">
        <v>7</v>
      </c>
      <c r="B818" s="16" t="s">
        <v>40</v>
      </c>
      <c r="C818" s="14" t="s">
        <v>18</v>
      </c>
      <c r="D818" s="29">
        <v>200.0</v>
      </c>
      <c r="E818" s="6" t="s">
        <v>65</v>
      </c>
    </row>
    <row r="819">
      <c r="A819" s="6" t="s">
        <v>7</v>
      </c>
      <c r="B819" s="16" t="s">
        <v>40</v>
      </c>
      <c r="C819" s="14" t="s">
        <v>20</v>
      </c>
      <c r="D819" s="29">
        <v>200.0</v>
      </c>
      <c r="E819" s="6" t="s">
        <v>65</v>
      </c>
    </row>
    <row r="820">
      <c r="A820" s="6" t="s">
        <v>7</v>
      </c>
      <c r="B820" s="16" t="s">
        <v>40</v>
      </c>
      <c r="C820" s="14" t="s">
        <v>24</v>
      </c>
      <c r="D820" s="29">
        <v>200.0</v>
      </c>
      <c r="E820" s="6" t="s">
        <v>65</v>
      </c>
    </row>
    <row r="821">
      <c r="A821" s="6" t="s">
        <v>7</v>
      </c>
      <c r="B821" s="16" t="s">
        <v>40</v>
      </c>
      <c r="C821" s="14" t="s">
        <v>10</v>
      </c>
      <c r="D821" s="29">
        <v>200.0</v>
      </c>
      <c r="E821" s="6" t="s">
        <v>65</v>
      </c>
    </row>
    <row r="822">
      <c r="A822" s="6" t="s">
        <v>7</v>
      </c>
      <c r="B822" s="16" t="s">
        <v>42</v>
      </c>
      <c r="C822" s="14" t="s">
        <v>18</v>
      </c>
      <c r="D822" s="29">
        <v>200.0</v>
      </c>
      <c r="E822" s="6" t="s">
        <v>65</v>
      </c>
    </row>
    <row r="823">
      <c r="A823" s="6" t="s">
        <v>7</v>
      </c>
      <c r="B823" s="16" t="s">
        <v>42</v>
      </c>
      <c r="C823" s="14" t="s">
        <v>20</v>
      </c>
      <c r="D823" s="29">
        <v>200.0</v>
      </c>
      <c r="E823" s="6" t="s">
        <v>65</v>
      </c>
    </row>
    <row r="824">
      <c r="A824" s="6" t="s">
        <v>7</v>
      </c>
      <c r="B824" s="16" t="s">
        <v>42</v>
      </c>
      <c r="C824" s="14" t="s">
        <v>24</v>
      </c>
      <c r="D824" s="29">
        <v>200.0</v>
      </c>
      <c r="E824" s="6" t="s">
        <v>65</v>
      </c>
    </row>
    <row r="825">
      <c r="A825" s="6" t="s">
        <v>7</v>
      </c>
      <c r="B825" s="16" t="s">
        <v>42</v>
      </c>
      <c r="C825" s="14" t="s">
        <v>10</v>
      </c>
      <c r="D825" s="29">
        <v>200.0</v>
      </c>
      <c r="E825" s="6" t="s">
        <v>65</v>
      </c>
    </row>
    <row r="826">
      <c r="A826" s="6" t="s">
        <v>7</v>
      </c>
      <c r="B826" s="16" t="s">
        <v>43</v>
      </c>
      <c r="C826" s="14" t="s">
        <v>18</v>
      </c>
      <c r="D826" s="29">
        <v>200.0</v>
      </c>
      <c r="E826" s="6" t="s">
        <v>65</v>
      </c>
    </row>
    <row r="827">
      <c r="A827" s="6" t="s">
        <v>7</v>
      </c>
      <c r="B827" s="16" t="s">
        <v>43</v>
      </c>
      <c r="C827" s="14" t="s">
        <v>20</v>
      </c>
      <c r="D827" s="29">
        <v>200.0</v>
      </c>
      <c r="E827" s="6" t="s">
        <v>65</v>
      </c>
    </row>
    <row r="828">
      <c r="A828" s="6" t="s">
        <v>7</v>
      </c>
      <c r="B828" s="16" t="s">
        <v>43</v>
      </c>
      <c r="C828" s="14" t="s">
        <v>24</v>
      </c>
      <c r="D828" s="29">
        <v>200.0</v>
      </c>
      <c r="E828" s="6" t="s">
        <v>65</v>
      </c>
    </row>
    <row r="829">
      <c r="A829" s="6" t="s">
        <v>7</v>
      </c>
      <c r="B829" s="16" t="s">
        <v>43</v>
      </c>
      <c r="C829" s="14" t="s">
        <v>10</v>
      </c>
      <c r="D829" s="29">
        <v>200.0</v>
      </c>
      <c r="E829" s="6" t="s">
        <v>65</v>
      </c>
    </row>
    <row r="830">
      <c r="A830" s="6" t="s">
        <v>7</v>
      </c>
      <c r="B830" s="16" t="s">
        <v>44</v>
      </c>
      <c r="C830" s="14" t="s">
        <v>18</v>
      </c>
      <c r="D830" s="29">
        <v>200.0</v>
      </c>
      <c r="E830" s="6" t="s">
        <v>65</v>
      </c>
    </row>
    <row r="831">
      <c r="A831" s="6" t="s">
        <v>7</v>
      </c>
      <c r="B831" s="16" t="s">
        <v>44</v>
      </c>
      <c r="C831" s="14" t="s">
        <v>20</v>
      </c>
      <c r="D831" s="29">
        <v>200.0</v>
      </c>
      <c r="E831" s="6" t="s">
        <v>65</v>
      </c>
    </row>
    <row r="832">
      <c r="A832" s="6" t="s">
        <v>7</v>
      </c>
      <c r="B832" s="16" t="s">
        <v>44</v>
      </c>
      <c r="C832" s="14" t="s">
        <v>24</v>
      </c>
      <c r="D832" s="29">
        <v>200.0</v>
      </c>
      <c r="E832" s="6" t="s">
        <v>65</v>
      </c>
    </row>
    <row r="833">
      <c r="A833" s="6" t="s">
        <v>7</v>
      </c>
      <c r="B833" s="16" t="s">
        <v>44</v>
      </c>
      <c r="C833" s="14" t="s">
        <v>10</v>
      </c>
      <c r="D833" s="29">
        <v>200.0</v>
      </c>
      <c r="E833" s="6" t="s">
        <v>65</v>
      </c>
    </row>
    <row r="834">
      <c r="A834" s="6" t="s">
        <v>7</v>
      </c>
      <c r="B834" s="16" t="s">
        <v>49</v>
      </c>
      <c r="C834" s="14" t="s">
        <v>18</v>
      </c>
      <c r="D834" s="29">
        <v>200.0</v>
      </c>
      <c r="E834" s="6" t="s">
        <v>65</v>
      </c>
    </row>
    <row r="835">
      <c r="A835" s="6" t="s">
        <v>7</v>
      </c>
      <c r="B835" s="16" t="s">
        <v>49</v>
      </c>
      <c r="C835" s="14" t="s">
        <v>20</v>
      </c>
      <c r="D835" s="29">
        <v>200.0</v>
      </c>
      <c r="E835" s="6" t="s">
        <v>65</v>
      </c>
    </row>
    <row r="836">
      <c r="A836" s="6" t="s">
        <v>7</v>
      </c>
      <c r="B836" s="16" t="s">
        <v>49</v>
      </c>
      <c r="C836" s="14" t="s">
        <v>24</v>
      </c>
      <c r="D836" s="29">
        <v>200.0</v>
      </c>
      <c r="E836" s="6" t="s">
        <v>65</v>
      </c>
    </row>
    <row r="837">
      <c r="A837" s="6" t="s">
        <v>7</v>
      </c>
      <c r="B837" s="16" t="s">
        <v>49</v>
      </c>
      <c r="C837" s="14" t="s">
        <v>10</v>
      </c>
      <c r="D837" s="29">
        <v>200.0</v>
      </c>
      <c r="E837" s="6" t="s">
        <v>65</v>
      </c>
    </row>
    <row r="838">
      <c r="A838" s="6" t="s">
        <v>7</v>
      </c>
      <c r="B838" s="16" t="s">
        <v>50</v>
      </c>
      <c r="C838" s="14" t="s">
        <v>18</v>
      </c>
      <c r="D838" s="29">
        <v>200.0</v>
      </c>
      <c r="E838" s="6" t="s">
        <v>65</v>
      </c>
    </row>
    <row r="839">
      <c r="A839" s="6" t="s">
        <v>7</v>
      </c>
      <c r="B839" s="16" t="s">
        <v>50</v>
      </c>
      <c r="C839" s="14" t="s">
        <v>20</v>
      </c>
      <c r="D839" s="29">
        <v>200.0</v>
      </c>
      <c r="E839" s="6" t="s">
        <v>65</v>
      </c>
    </row>
    <row r="840">
      <c r="A840" s="6" t="s">
        <v>7</v>
      </c>
      <c r="B840" s="16" t="s">
        <v>50</v>
      </c>
      <c r="C840" s="14" t="s">
        <v>24</v>
      </c>
      <c r="D840" s="29">
        <v>200.0</v>
      </c>
      <c r="E840" s="6" t="s">
        <v>65</v>
      </c>
    </row>
    <row r="841">
      <c r="A841" s="6" t="s">
        <v>7</v>
      </c>
      <c r="B841" s="16" t="s">
        <v>50</v>
      </c>
      <c r="C841" s="14" t="s">
        <v>10</v>
      </c>
      <c r="D841" s="29">
        <v>200.0</v>
      </c>
      <c r="E841" s="6" t="s">
        <v>65</v>
      </c>
    </row>
    <row r="842">
      <c r="A842" s="6" t="s">
        <v>7</v>
      </c>
      <c r="B842" s="16" t="s">
        <v>11</v>
      </c>
      <c r="C842" s="14" t="s">
        <v>18</v>
      </c>
      <c r="D842" s="29">
        <v>200.0</v>
      </c>
      <c r="E842" s="6" t="s">
        <v>65</v>
      </c>
    </row>
    <row r="843">
      <c r="A843" s="6" t="s">
        <v>7</v>
      </c>
      <c r="B843" s="16" t="s">
        <v>11</v>
      </c>
      <c r="C843" s="14" t="s">
        <v>20</v>
      </c>
      <c r="D843" s="29">
        <v>200.0</v>
      </c>
      <c r="E843" s="6" t="s">
        <v>65</v>
      </c>
    </row>
    <row r="844">
      <c r="A844" s="6" t="s">
        <v>7</v>
      </c>
      <c r="B844" s="16" t="s">
        <v>11</v>
      </c>
      <c r="C844" s="14" t="s">
        <v>24</v>
      </c>
      <c r="D844" s="29">
        <v>200.0</v>
      </c>
      <c r="E844" s="6" t="s">
        <v>65</v>
      </c>
    </row>
    <row r="845">
      <c r="A845" s="6" t="s">
        <v>7</v>
      </c>
      <c r="B845" s="16" t="s">
        <v>11</v>
      </c>
      <c r="C845" s="14" t="s">
        <v>10</v>
      </c>
      <c r="D845" s="29">
        <v>200.0</v>
      </c>
      <c r="E845" s="6" t="s">
        <v>65</v>
      </c>
    </row>
    <row r="846">
      <c r="A846" s="6" t="s">
        <v>7</v>
      </c>
      <c r="B846" s="16" t="s">
        <v>55</v>
      </c>
      <c r="C846" s="14" t="s">
        <v>18</v>
      </c>
      <c r="D846" s="29">
        <v>200.0</v>
      </c>
      <c r="E846" s="6" t="s">
        <v>65</v>
      </c>
    </row>
    <row r="847">
      <c r="A847" s="6" t="s">
        <v>7</v>
      </c>
      <c r="B847" s="16" t="s">
        <v>55</v>
      </c>
      <c r="C847" s="14" t="s">
        <v>20</v>
      </c>
      <c r="D847" s="29">
        <v>200.0</v>
      </c>
      <c r="E847" s="6" t="s">
        <v>65</v>
      </c>
    </row>
    <row r="848">
      <c r="A848" s="6" t="s">
        <v>7</v>
      </c>
      <c r="B848" s="16" t="s">
        <v>55</v>
      </c>
      <c r="C848" s="14" t="s">
        <v>24</v>
      </c>
      <c r="D848" s="29">
        <v>200.0</v>
      </c>
      <c r="E848" s="6" t="s">
        <v>65</v>
      </c>
    </row>
    <row r="849">
      <c r="A849" s="6" t="s">
        <v>7</v>
      </c>
      <c r="B849" s="16" t="s">
        <v>55</v>
      </c>
      <c r="C849" s="14" t="s">
        <v>10</v>
      </c>
      <c r="D849" s="29">
        <v>200.0</v>
      </c>
      <c r="E849" s="6" t="s">
        <v>65</v>
      </c>
    </row>
    <row r="850">
      <c r="A850" s="6" t="s">
        <v>7</v>
      </c>
      <c r="B850" s="16" t="s">
        <v>57</v>
      </c>
      <c r="C850" s="14" t="s">
        <v>18</v>
      </c>
      <c r="D850" s="29">
        <v>200.0</v>
      </c>
      <c r="E850" s="6" t="s">
        <v>65</v>
      </c>
    </row>
    <row r="851">
      <c r="A851" s="6" t="s">
        <v>7</v>
      </c>
      <c r="B851" s="16" t="s">
        <v>57</v>
      </c>
      <c r="C851" s="14" t="s">
        <v>20</v>
      </c>
      <c r="D851" s="29">
        <v>200.0</v>
      </c>
      <c r="E851" s="6" t="s">
        <v>65</v>
      </c>
    </row>
    <row r="852">
      <c r="A852" s="6" t="s">
        <v>7</v>
      </c>
      <c r="B852" s="16" t="s">
        <v>57</v>
      </c>
      <c r="C852" s="14" t="s">
        <v>24</v>
      </c>
      <c r="D852" s="29">
        <v>200.0</v>
      </c>
      <c r="E852" s="6" t="s">
        <v>65</v>
      </c>
    </row>
    <row r="853">
      <c r="A853" s="6" t="s">
        <v>7</v>
      </c>
      <c r="B853" s="16" t="s">
        <v>57</v>
      </c>
      <c r="C853" s="14" t="s">
        <v>10</v>
      </c>
      <c r="D853" s="29">
        <v>200.0</v>
      </c>
      <c r="E853" s="6" t="s">
        <v>65</v>
      </c>
    </row>
    <row r="854">
      <c r="A854" s="6" t="s">
        <v>7</v>
      </c>
      <c r="B854" s="16" t="s">
        <v>58</v>
      </c>
      <c r="C854" s="14" t="s">
        <v>18</v>
      </c>
      <c r="D854" s="29">
        <v>200.0</v>
      </c>
      <c r="E854" s="6" t="s">
        <v>65</v>
      </c>
    </row>
    <row r="855">
      <c r="A855" s="6" t="s">
        <v>7</v>
      </c>
      <c r="B855" s="16" t="s">
        <v>58</v>
      </c>
      <c r="C855" s="14" t="s">
        <v>20</v>
      </c>
      <c r="D855" s="29">
        <v>200.0</v>
      </c>
      <c r="E855" s="6" t="s">
        <v>65</v>
      </c>
    </row>
    <row r="856">
      <c r="A856" s="6" t="s">
        <v>7</v>
      </c>
      <c r="B856" s="16" t="s">
        <v>58</v>
      </c>
      <c r="C856" s="14" t="s">
        <v>24</v>
      </c>
      <c r="D856" s="29">
        <v>200.0</v>
      </c>
      <c r="E856" s="6" t="s">
        <v>65</v>
      </c>
    </row>
    <row r="857">
      <c r="A857" s="6" t="s">
        <v>7</v>
      </c>
      <c r="B857" s="16" t="s">
        <v>58</v>
      </c>
      <c r="C857" s="14" t="s">
        <v>10</v>
      </c>
      <c r="D857" s="29">
        <v>200.0</v>
      </c>
      <c r="E857" s="6" t="s">
        <v>65</v>
      </c>
    </row>
    <row r="858">
      <c r="A858" s="6" t="s">
        <v>7</v>
      </c>
      <c r="B858" s="16" t="s">
        <v>59</v>
      </c>
      <c r="C858" s="14" t="s">
        <v>18</v>
      </c>
      <c r="D858" s="29">
        <v>200.0</v>
      </c>
      <c r="E858" s="6" t="s">
        <v>65</v>
      </c>
    </row>
    <row r="859">
      <c r="A859" s="6" t="s">
        <v>7</v>
      </c>
      <c r="B859" s="16" t="s">
        <v>59</v>
      </c>
      <c r="C859" s="14" t="s">
        <v>20</v>
      </c>
      <c r="D859" s="29">
        <v>200.0</v>
      </c>
      <c r="E859" s="6" t="s">
        <v>65</v>
      </c>
    </row>
    <row r="860">
      <c r="A860" s="6" t="s">
        <v>7</v>
      </c>
      <c r="B860" s="16" t="s">
        <v>59</v>
      </c>
      <c r="C860" s="14" t="s">
        <v>24</v>
      </c>
      <c r="D860" s="29">
        <v>200.0</v>
      </c>
      <c r="E860" s="6" t="s">
        <v>65</v>
      </c>
    </row>
    <row r="861">
      <c r="A861" s="6" t="s">
        <v>7</v>
      </c>
      <c r="B861" s="16" t="s">
        <v>59</v>
      </c>
      <c r="C861" s="14" t="s">
        <v>10</v>
      </c>
      <c r="D861" s="29">
        <v>200.0</v>
      </c>
      <c r="E861" s="6" t="s">
        <v>65</v>
      </c>
    </row>
    <row r="862">
      <c r="A862" s="6" t="s">
        <v>7</v>
      </c>
      <c r="B862" s="16" t="s">
        <v>60</v>
      </c>
      <c r="C862" s="14" t="s">
        <v>18</v>
      </c>
      <c r="D862" s="29">
        <v>200.0</v>
      </c>
      <c r="E862" s="6" t="s">
        <v>65</v>
      </c>
    </row>
    <row r="863">
      <c r="A863" s="6" t="s">
        <v>7</v>
      </c>
      <c r="B863" s="16" t="s">
        <v>60</v>
      </c>
      <c r="C863" s="14" t="s">
        <v>20</v>
      </c>
      <c r="D863" s="29">
        <v>200.0</v>
      </c>
      <c r="E863" s="6" t="s">
        <v>65</v>
      </c>
    </row>
    <row r="864">
      <c r="A864" s="6" t="s">
        <v>7</v>
      </c>
      <c r="B864" s="16" t="s">
        <v>60</v>
      </c>
      <c r="C864" s="14" t="s">
        <v>24</v>
      </c>
      <c r="D864" s="29">
        <v>200.0</v>
      </c>
      <c r="E864" s="6" t="s">
        <v>65</v>
      </c>
    </row>
    <row r="865">
      <c r="A865" s="6" t="s">
        <v>7</v>
      </c>
      <c r="B865" s="16" t="s">
        <v>60</v>
      </c>
      <c r="C865" s="14" t="s">
        <v>10</v>
      </c>
      <c r="D865" s="29">
        <v>200.0</v>
      </c>
      <c r="E865" s="6" t="s">
        <v>65</v>
      </c>
    </row>
    <row r="866">
      <c r="A866" s="6" t="s">
        <v>7</v>
      </c>
      <c r="B866" s="16" t="s">
        <v>61</v>
      </c>
      <c r="C866" s="14" t="s">
        <v>18</v>
      </c>
      <c r="D866" s="29">
        <v>200.0</v>
      </c>
      <c r="E866" s="6" t="s">
        <v>65</v>
      </c>
    </row>
    <row r="867">
      <c r="A867" s="6" t="s">
        <v>7</v>
      </c>
      <c r="B867" s="16" t="s">
        <v>61</v>
      </c>
      <c r="C867" s="14" t="s">
        <v>20</v>
      </c>
      <c r="D867" s="29">
        <v>200.0</v>
      </c>
      <c r="E867" s="6" t="s">
        <v>65</v>
      </c>
    </row>
    <row r="868">
      <c r="A868" s="6" t="s">
        <v>7</v>
      </c>
      <c r="B868" s="16" t="s">
        <v>61</v>
      </c>
      <c r="C868" s="14" t="s">
        <v>24</v>
      </c>
      <c r="D868" s="29">
        <v>200.0</v>
      </c>
      <c r="E868" s="6" t="s">
        <v>65</v>
      </c>
    </row>
    <row r="869">
      <c r="A869" s="6" t="s">
        <v>7</v>
      </c>
      <c r="B869" s="16" t="s">
        <v>61</v>
      </c>
      <c r="C869" s="14" t="s">
        <v>10</v>
      </c>
      <c r="D869" s="29">
        <v>200.0</v>
      </c>
      <c r="E869" s="6" t="s">
        <v>65</v>
      </c>
    </row>
    <row r="870">
      <c r="A870" s="6" t="s">
        <v>7</v>
      </c>
      <c r="B870" s="16" t="s">
        <v>62</v>
      </c>
      <c r="C870" s="14" t="s">
        <v>18</v>
      </c>
      <c r="D870" s="29">
        <v>200.0</v>
      </c>
      <c r="E870" s="6" t="s">
        <v>65</v>
      </c>
    </row>
    <row r="871">
      <c r="A871" s="6" t="s">
        <v>7</v>
      </c>
      <c r="B871" s="16" t="s">
        <v>62</v>
      </c>
      <c r="C871" s="14" t="s">
        <v>20</v>
      </c>
      <c r="D871" s="29">
        <v>200.0</v>
      </c>
      <c r="E871" s="6" t="s">
        <v>65</v>
      </c>
    </row>
    <row r="872">
      <c r="A872" s="6" t="s">
        <v>7</v>
      </c>
      <c r="B872" s="16" t="s">
        <v>62</v>
      </c>
      <c r="C872" s="14" t="s">
        <v>24</v>
      </c>
      <c r="D872" s="29">
        <v>200.0</v>
      </c>
      <c r="E872" s="6" t="s">
        <v>65</v>
      </c>
    </row>
    <row r="873">
      <c r="A873" s="6" t="s">
        <v>7</v>
      </c>
      <c r="B873" s="16" t="s">
        <v>62</v>
      </c>
      <c r="C873" s="14" t="s">
        <v>10</v>
      </c>
      <c r="D873" s="29">
        <v>200.0</v>
      </c>
      <c r="E873" s="6" t="s">
        <v>65</v>
      </c>
    </row>
    <row r="874">
      <c r="A874" s="6" t="s">
        <v>7</v>
      </c>
      <c r="B874" s="16" t="s">
        <v>63</v>
      </c>
      <c r="C874" s="14" t="s">
        <v>18</v>
      </c>
      <c r="D874" s="29">
        <v>200.0</v>
      </c>
      <c r="E874" s="6" t="s">
        <v>65</v>
      </c>
    </row>
    <row r="875">
      <c r="A875" s="6" t="s">
        <v>7</v>
      </c>
      <c r="B875" s="16" t="s">
        <v>63</v>
      </c>
      <c r="C875" s="14" t="s">
        <v>20</v>
      </c>
      <c r="D875" s="29">
        <v>200.0</v>
      </c>
      <c r="E875" s="6" t="s">
        <v>65</v>
      </c>
    </row>
    <row r="876">
      <c r="A876" s="6" t="s">
        <v>7</v>
      </c>
      <c r="B876" s="16" t="s">
        <v>63</v>
      </c>
      <c r="C876" s="14" t="s">
        <v>24</v>
      </c>
      <c r="D876" s="29">
        <v>200.0</v>
      </c>
      <c r="E876" s="6" t="s">
        <v>65</v>
      </c>
    </row>
    <row r="877">
      <c r="A877" s="6" t="s">
        <v>7</v>
      </c>
      <c r="B877" s="16" t="s">
        <v>63</v>
      </c>
      <c r="C877" s="14" t="s">
        <v>10</v>
      </c>
      <c r="D877" s="29">
        <v>200.0</v>
      </c>
      <c r="E877" s="6" t="s">
        <v>65</v>
      </c>
    </row>
    <row r="878">
      <c r="A878" s="6" t="s">
        <v>7</v>
      </c>
      <c r="B878" s="16" t="s">
        <v>64</v>
      </c>
      <c r="C878" s="14" t="s">
        <v>18</v>
      </c>
      <c r="D878" s="29">
        <v>200.0</v>
      </c>
      <c r="E878" s="6" t="s">
        <v>65</v>
      </c>
    </row>
    <row r="879">
      <c r="A879" s="6" t="s">
        <v>7</v>
      </c>
      <c r="B879" s="16" t="s">
        <v>64</v>
      </c>
      <c r="C879" s="14" t="s">
        <v>20</v>
      </c>
      <c r="D879" s="29">
        <v>200.0</v>
      </c>
      <c r="E879" s="6" t="s">
        <v>65</v>
      </c>
    </row>
    <row r="880">
      <c r="A880" s="6" t="s">
        <v>7</v>
      </c>
      <c r="B880" s="16" t="s">
        <v>64</v>
      </c>
      <c r="C880" s="14" t="s">
        <v>24</v>
      </c>
      <c r="D880" s="29">
        <v>200.0</v>
      </c>
      <c r="E880" s="6" t="s">
        <v>65</v>
      </c>
    </row>
    <row r="881">
      <c r="A881" s="6" t="s">
        <v>7</v>
      </c>
      <c r="B881" s="16" t="s">
        <v>64</v>
      </c>
      <c r="C881" s="14" t="s">
        <v>10</v>
      </c>
      <c r="D881" s="29">
        <v>200.0</v>
      </c>
      <c r="E881" s="6" t="s">
        <v>65</v>
      </c>
    </row>
    <row r="882">
      <c r="A882" s="14" t="s">
        <v>41</v>
      </c>
      <c r="B882" s="16" t="s">
        <v>5</v>
      </c>
      <c r="C882" s="14" t="s">
        <v>18</v>
      </c>
      <c r="D882" s="29">
        <v>200.0</v>
      </c>
      <c r="E882" s="6" t="s">
        <v>65</v>
      </c>
    </row>
    <row r="883">
      <c r="A883" s="14" t="s">
        <v>41</v>
      </c>
      <c r="B883" s="16" t="s">
        <v>5</v>
      </c>
      <c r="C883" s="14" t="s">
        <v>20</v>
      </c>
      <c r="D883" s="29">
        <v>200.0</v>
      </c>
      <c r="E883" s="6" t="s">
        <v>65</v>
      </c>
    </row>
    <row r="884">
      <c r="A884" s="14" t="s">
        <v>41</v>
      </c>
      <c r="B884" s="16" t="s">
        <v>5</v>
      </c>
      <c r="C884" s="14" t="s">
        <v>24</v>
      </c>
      <c r="D884" s="29">
        <v>200.0</v>
      </c>
      <c r="E884" s="6" t="s">
        <v>65</v>
      </c>
    </row>
    <row r="885">
      <c r="A885" s="14" t="s">
        <v>41</v>
      </c>
      <c r="B885" s="16" t="s">
        <v>5</v>
      </c>
      <c r="C885" s="14" t="s">
        <v>10</v>
      </c>
      <c r="D885" s="29">
        <v>200.0</v>
      </c>
      <c r="E885" s="6" t="s">
        <v>65</v>
      </c>
    </row>
    <row r="886">
      <c r="A886" s="14" t="s">
        <v>41</v>
      </c>
      <c r="B886" s="16" t="s">
        <v>27</v>
      </c>
      <c r="C886" s="14" t="s">
        <v>18</v>
      </c>
      <c r="D886" s="29">
        <v>200.0</v>
      </c>
      <c r="E886" s="6" t="s">
        <v>65</v>
      </c>
    </row>
    <row r="887">
      <c r="A887" s="14" t="s">
        <v>41</v>
      </c>
      <c r="B887" s="16" t="s">
        <v>27</v>
      </c>
      <c r="C887" s="14" t="s">
        <v>20</v>
      </c>
      <c r="D887" s="29">
        <v>200.0</v>
      </c>
      <c r="E887" s="6" t="s">
        <v>65</v>
      </c>
    </row>
    <row r="888">
      <c r="A888" s="14" t="s">
        <v>41</v>
      </c>
      <c r="B888" s="16" t="s">
        <v>27</v>
      </c>
      <c r="C888" s="14" t="s">
        <v>24</v>
      </c>
      <c r="D888" s="29">
        <v>200.0</v>
      </c>
      <c r="E888" s="6" t="s">
        <v>65</v>
      </c>
    </row>
    <row r="889">
      <c r="A889" s="14" t="s">
        <v>41</v>
      </c>
      <c r="B889" s="16" t="s">
        <v>27</v>
      </c>
      <c r="C889" s="14" t="s">
        <v>10</v>
      </c>
      <c r="D889" s="29">
        <v>200.0</v>
      </c>
      <c r="E889" s="6" t="s">
        <v>65</v>
      </c>
    </row>
    <row r="890">
      <c r="A890" s="14" t="s">
        <v>41</v>
      </c>
      <c r="B890" s="16" t="s">
        <v>32</v>
      </c>
      <c r="C890" s="14" t="s">
        <v>18</v>
      </c>
      <c r="D890" s="29">
        <v>200.0</v>
      </c>
      <c r="E890" s="6" t="s">
        <v>65</v>
      </c>
    </row>
    <row r="891">
      <c r="A891" s="14" t="s">
        <v>41</v>
      </c>
      <c r="B891" s="16" t="s">
        <v>32</v>
      </c>
      <c r="C891" s="14" t="s">
        <v>20</v>
      </c>
      <c r="D891" s="29">
        <v>200.0</v>
      </c>
      <c r="E891" s="6" t="s">
        <v>65</v>
      </c>
    </row>
    <row r="892">
      <c r="A892" s="14" t="s">
        <v>41</v>
      </c>
      <c r="B892" s="16" t="s">
        <v>32</v>
      </c>
      <c r="C892" s="14" t="s">
        <v>24</v>
      </c>
      <c r="D892" s="29">
        <v>200.0</v>
      </c>
      <c r="E892" s="6" t="s">
        <v>65</v>
      </c>
    </row>
    <row r="893">
      <c r="A893" s="14" t="s">
        <v>41</v>
      </c>
      <c r="B893" s="16" t="s">
        <v>32</v>
      </c>
      <c r="C893" s="14" t="s">
        <v>10</v>
      </c>
      <c r="D893" s="29">
        <v>200.0</v>
      </c>
      <c r="E893" s="6" t="s">
        <v>65</v>
      </c>
    </row>
    <row r="894">
      <c r="A894" s="14" t="s">
        <v>41</v>
      </c>
      <c r="B894" s="16" t="s">
        <v>37</v>
      </c>
      <c r="C894" s="14" t="s">
        <v>18</v>
      </c>
      <c r="D894" s="29">
        <v>200.0</v>
      </c>
      <c r="E894" s="6" t="s">
        <v>65</v>
      </c>
    </row>
    <row r="895">
      <c r="A895" s="14" t="s">
        <v>41</v>
      </c>
      <c r="B895" s="16" t="s">
        <v>37</v>
      </c>
      <c r="C895" s="14" t="s">
        <v>20</v>
      </c>
      <c r="D895" s="29">
        <v>200.0</v>
      </c>
      <c r="E895" s="6" t="s">
        <v>65</v>
      </c>
    </row>
    <row r="896">
      <c r="A896" s="14" t="s">
        <v>41</v>
      </c>
      <c r="B896" s="16" t="s">
        <v>37</v>
      </c>
      <c r="C896" s="14" t="s">
        <v>24</v>
      </c>
      <c r="D896" s="29">
        <v>200.0</v>
      </c>
      <c r="E896" s="6" t="s">
        <v>65</v>
      </c>
    </row>
    <row r="897">
      <c r="A897" s="14" t="s">
        <v>41</v>
      </c>
      <c r="B897" s="16" t="s">
        <v>37</v>
      </c>
      <c r="C897" s="14" t="s">
        <v>10</v>
      </c>
      <c r="D897" s="29">
        <v>200.0</v>
      </c>
      <c r="E897" s="6" t="s">
        <v>65</v>
      </c>
    </row>
    <row r="898">
      <c r="A898" s="14" t="s">
        <v>41</v>
      </c>
      <c r="B898" s="16" t="s">
        <v>40</v>
      </c>
      <c r="C898" s="14" t="s">
        <v>18</v>
      </c>
      <c r="D898" s="29">
        <v>200.0</v>
      </c>
      <c r="E898" s="6" t="s">
        <v>65</v>
      </c>
    </row>
    <row r="899">
      <c r="A899" s="14" t="s">
        <v>41</v>
      </c>
      <c r="B899" s="16" t="s">
        <v>40</v>
      </c>
      <c r="C899" s="14" t="s">
        <v>20</v>
      </c>
      <c r="D899" s="29">
        <v>200.0</v>
      </c>
      <c r="E899" s="6" t="s">
        <v>65</v>
      </c>
    </row>
    <row r="900">
      <c r="A900" s="14" t="s">
        <v>41</v>
      </c>
      <c r="B900" s="16" t="s">
        <v>40</v>
      </c>
      <c r="C900" s="14" t="s">
        <v>24</v>
      </c>
      <c r="D900" s="29">
        <v>200.0</v>
      </c>
      <c r="E900" s="6" t="s">
        <v>65</v>
      </c>
    </row>
    <row r="901">
      <c r="A901" s="14" t="s">
        <v>41</v>
      </c>
      <c r="B901" s="16" t="s">
        <v>40</v>
      </c>
      <c r="C901" s="14" t="s">
        <v>10</v>
      </c>
      <c r="D901" s="29">
        <v>200.0</v>
      </c>
      <c r="E901" s="6" t="s">
        <v>65</v>
      </c>
    </row>
    <row r="902">
      <c r="A902" s="14" t="s">
        <v>41</v>
      </c>
      <c r="B902" s="16" t="s">
        <v>42</v>
      </c>
      <c r="C902" s="14" t="s">
        <v>18</v>
      </c>
      <c r="D902" s="29">
        <v>200.0</v>
      </c>
      <c r="E902" s="6" t="s">
        <v>65</v>
      </c>
    </row>
    <row r="903">
      <c r="A903" s="14" t="s">
        <v>41</v>
      </c>
      <c r="B903" s="16" t="s">
        <v>42</v>
      </c>
      <c r="C903" s="14" t="s">
        <v>20</v>
      </c>
      <c r="D903" s="29">
        <v>200.0</v>
      </c>
      <c r="E903" s="6" t="s">
        <v>65</v>
      </c>
    </row>
    <row r="904">
      <c r="A904" s="14" t="s">
        <v>41</v>
      </c>
      <c r="B904" s="16" t="s">
        <v>42</v>
      </c>
      <c r="C904" s="14" t="s">
        <v>24</v>
      </c>
      <c r="D904" s="29">
        <v>200.0</v>
      </c>
      <c r="E904" s="6" t="s">
        <v>65</v>
      </c>
    </row>
    <row r="905">
      <c r="A905" s="14" t="s">
        <v>41</v>
      </c>
      <c r="B905" s="16" t="s">
        <v>42</v>
      </c>
      <c r="C905" s="14" t="s">
        <v>10</v>
      </c>
      <c r="D905" s="29">
        <v>200.0</v>
      </c>
      <c r="E905" s="6" t="s">
        <v>65</v>
      </c>
    </row>
    <row r="906">
      <c r="A906" s="14" t="s">
        <v>41</v>
      </c>
      <c r="B906" s="16" t="s">
        <v>43</v>
      </c>
      <c r="C906" s="14" t="s">
        <v>18</v>
      </c>
      <c r="D906" s="29">
        <v>200.0</v>
      </c>
      <c r="E906" s="6" t="s">
        <v>65</v>
      </c>
    </row>
    <row r="907">
      <c r="A907" s="14" t="s">
        <v>41</v>
      </c>
      <c r="B907" s="16" t="s">
        <v>43</v>
      </c>
      <c r="C907" s="14" t="s">
        <v>20</v>
      </c>
      <c r="D907" s="29">
        <v>200.0</v>
      </c>
      <c r="E907" s="6" t="s">
        <v>65</v>
      </c>
    </row>
    <row r="908">
      <c r="A908" s="14" t="s">
        <v>41</v>
      </c>
      <c r="B908" s="16" t="s">
        <v>43</v>
      </c>
      <c r="C908" s="14" t="s">
        <v>24</v>
      </c>
      <c r="D908" s="29">
        <v>200.0</v>
      </c>
      <c r="E908" s="6" t="s">
        <v>65</v>
      </c>
    </row>
    <row r="909">
      <c r="A909" s="14" t="s">
        <v>41</v>
      </c>
      <c r="B909" s="16" t="s">
        <v>43</v>
      </c>
      <c r="C909" s="14" t="s">
        <v>10</v>
      </c>
      <c r="D909" s="29">
        <v>200.0</v>
      </c>
      <c r="E909" s="6" t="s">
        <v>65</v>
      </c>
    </row>
    <row r="910">
      <c r="A910" s="14" t="s">
        <v>41</v>
      </c>
      <c r="B910" s="16" t="s">
        <v>44</v>
      </c>
      <c r="C910" s="14" t="s">
        <v>18</v>
      </c>
      <c r="D910" s="29">
        <v>200.0</v>
      </c>
      <c r="E910" s="6" t="s">
        <v>65</v>
      </c>
    </row>
    <row r="911">
      <c r="A911" s="14" t="s">
        <v>41</v>
      </c>
      <c r="B911" s="16" t="s">
        <v>44</v>
      </c>
      <c r="C911" s="14" t="s">
        <v>20</v>
      </c>
      <c r="D911" s="29">
        <v>200.0</v>
      </c>
      <c r="E911" s="6" t="s">
        <v>65</v>
      </c>
    </row>
    <row r="912">
      <c r="A912" s="14" t="s">
        <v>41</v>
      </c>
      <c r="B912" s="16" t="s">
        <v>44</v>
      </c>
      <c r="C912" s="14" t="s">
        <v>24</v>
      </c>
      <c r="D912" s="29">
        <v>200.0</v>
      </c>
      <c r="E912" s="6" t="s">
        <v>65</v>
      </c>
    </row>
    <row r="913">
      <c r="A913" s="14" t="s">
        <v>41</v>
      </c>
      <c r="B913" s="16" t="s">
        <v>44</v>
      </c>
      <c r="C913" s="14" t="s">
        <v>10</v>
      </c>
      <c r="D913" s="29">
        <v>200.0</v>
      </c>
      <c r="E913" s="6" t="s">
        <v>65</v>
      </c>
    </row>
    <row r="914">
      <c r="A914" s="14" t="s">
        <v>41</v>
      </c>
      <c r="B914" s="16" t="s">
        <v>49</v>
      </c>
      <c r="C914" s="14" t="s">
        <v>18</v>
      </c>
      <c r="D914" s="29">
        <v>200.0</v>
      </c>
      <c r="E914" s="6" t="s">
        <v>65</v>
      </c>
    </row>
    <row r="915">
      <c r="A915" s="14" t="s">
        <v>41</v>
      </c>
      <c r="B915" s="16" t="s">
        <v>49</v>
      </c>
      <c r="C915" s="14" t="s">
        <v>20</v>
      </c>
      <c r="D915" s="29">
        <v>200.0</v>
      </c>
      <c r="E915" s="6" t="s">
        <v>65</v>
      </c>
    </row>
    <row r="916">
      <c r="A916" s="14" t="s">
        <v>41</v>
      </c>
      <c r="B916" s="16" t="s">
        <v>49</v>
      </c>
      <c r="C916" s="14" t="s">
        <v>24</v>
      </c>
      <c r="D916" s="29">
        <v>200.0</v>
      </c>
      <c r="E916" s="6" t="s">
        <v>65</v>
      </c>
    </row>
    <row r="917">
      <c r="A917" s="14" t="s">
        <v>41</v>
      </c>
      <c r="B917" s="16" t="s">
        <v>49</v>
      </c>
      <c r="C917" s="14" t="s">
        <v>10</v>
      </c>
      <c r="D917" s="29">
        <v>200.0</v>
      </c>
      <c r="E917" s="6" t="s">
        <v>65</v>
      </c>
    </row>
    <row r="918">
      <c r="A918" s="14" t="s">
        <v>41</v>
      </c>
      <c r="B918" s="16" t="s">
        <v>50</v>
      </c>
      <c r="C918" s="14" t="s">
        <v>18</v>
      </c>
      <c r="D918" s="29">
        <v>200.0</v>
      </c>
      <c r="E918" s="6" t="s">
        <v>65</v>
      </c>
    </row>
    <row r="919">
      <c r="A919" s="14" t="s">
        <v>41</v>
      </c>
      <c r="B919" s="16" t="s">
        <v>50</v>
      </c>
      <c r="C919" s="14" t="s">
        <v>20</v>
      </c>
      <c r="D919" s="29">
        <v>200.0</v>
      </c>
      <c r="E919" s="6" t="s">
        <v>65</v>
      </c>
    </row>
    <row r="920">
      <c r="A920" s="14" t="s">
        <v>41</v>
      </c>
      <c r="B920" s="16" t="s">
        <v>50</v>
      </c>
      <c r="C920" s="14" t="s">
        <v>24</v>
      </c>
      <c r="D920" s="29">
        <v>200.0</v>
      </c>
      <c r="E920" s="6" t="s">
        <v>65</v>
      </c>
    </row>
    <row r="921">
      <c r="A921" s="14" t="s">
        <v>41</v>
      </c>
      <c r="B921" s="16" t="s">
        <v>50</v>
      </c>
      <c r="C921" s="14" t="s">
        <v>10</v>
      </c>
      <c r="D921" s="29">
        <v>200.0</v>
      </c>
      <c r="E921" s="6" t="s">
        <v>65</v>
      </c>
    </row>
    <row r="922">
      <c r="A922" s="14" t="s">
        <v>41</v>
      </c>
      <c r="B922" s="16" t="s">
        <v>11</v>
      </c>
      <c r="C922" s="14" t="s">
        <v>18</v>
      </c>
      <c r="D922" s="29">
        <v>200.0</v>
      </c>
      <c r="E922" s="6" t="s">
        <v>65</v>
      </c>
    </row>
    <row r="923">
      <c r="A923" s="14" t="s">
        <v>41</v>
      </c>
      <c r="B923" s="16" t="s">
        <v>11</v>
      </c>
      <c r="C923" s="14" t="s">
        <v>20</v>
      </c>
      <c r="D923" s="29">
        <v>200.0</v>
      </c>
      <c r="E923" s="6" t="s">
        <v>65</v>
      </c>
    </row>
    <row r="924">
      <c r="A924" s="14" t="s">
        <v>41</v>
      </c>
      <c r="B924" s="16" t="s">
        <v>11</v>
      </c>
      <c r="C924" s="14" t="s">
        <v>24</v>
      </c>
      <c r="D924" s="29">
        <v>200.0</v>
      </c>
      <c r="E924" s="6" t="s">
        <v>65</v>
      </c>
    </row>
    <row r="925">
      <c r="A925" s="14" t="s">
        <v>41</v>
      </c>
      <c r="B925" s="16" t="s">
        <v>11</v>
      </c>
      <c r="C925" s="14" t="s">
        <v>10</v>
      </c>
      <c r="D925" s="29">
        <v>200.0</v>
      </c>
      <c r="E925" s="6" t="s">
        <v>65</v>
      </c>
    </row>
    <row r="926">
      <c r="A926" s="14" t="s">
        <v>41</v>
      </c>
      <c r="B926" s="16" t="s">
        <v>55</v>
      </c>
      <c r="C926" s="14" t="s">
        <v>18</v>
      </c>
      <c r="D926" s="29">
        <v>200.0</v>
      </c>
      <c r="E926" s="6" t="s">
        <v>65</v>
      </c>
    </row>
    <row r="927">
      <c r="A927" s="14" t="s">
        <v>41</v>
      </c>
      <c r="B927" s="16" t="s">
        <v>55</v>
      </c>
      <c r="C927" s="14" t="s">
        <v>20</v>
      </c>
      <c r="D927" s="29">
        <v>200.0</v>
      </c>
      <c r="E927" s="6" t="s">
        <v>65</v>
      </c>
    </row>
    <row r="928">
      <c r="A928" s="14" t="s">
        <v>41</v>
      </c>
      <c r="B928" s="16" t="s">
        <v>55</v>
      </c>
      <c r="C928" s="14" t="s">
        <v>24</v>
      </c>
      <c r="D928" s="29">
        <v>200.0</v>
      </c>
      <c r="E928" s="6" t="s">
        <v>65</v>
      </c>
    </row>
    <row r="929">
      <c r="A929" s="14" t="s">
        <v>41</v>
      </c>
      <c r="B929" s="16" t="s">
        <v>55</v>
      </c>
      <c r="C929" s="14" t="s">
        <v>10</v>
      </c>
      <c r="D929" s="29">
        <v>200.0</v>
      </c>
      <c r="E929" s="6" t="s">
        <v>65</v>
      </c>
    </row>
    <row r="930">
      <c r="A930" s="14" t="s">
        <v>41</v>
      </c>
      <c r="B930" s="16" t="s">
        <v>57</v>
      </c>
      <c r="C930" s="14" t="s">
        <v>18</v>
      </c>
      <c r="D930" s="29">
        <v>200.0</v>
      </c>
      <c r="E930" s="6" t="s">
        <v>65</v>
      </c>
    </row>
    <row r="931">
      <c r="A931" s="14" t="s">
        <v>41</v>
      </c>
      <c r="B931" s="16" t="s">
        <v>57</v>
      </c>
      <c r="C931" s="14" t="s">
        <v>20</v>
      </c>
      <c r="D931" s="29">
        <v>200.0</v>
      </c>
      <c r="E931" s="6" t="s">
        <v>65</v>
      </c>
    </row>
    <row r="932">
      <c r="A932" s="14" t="s">
        <v>41</v>
      </c>
      <c r="B932" s="16" t="s">
        <v>57</v>
      </c>
      <c r="C932" s="14" t="s">
        <v>24</v>
      </c>
      <c r="D932" s="29">
        <v>200.0</v>
      </c>
      <c r="E932" s="6" t="s">
        <v>65</v>
      </c>
    </row>
    <row r="933">
      <c r="A933" s="14" t="s">
        <v>41</v>
      </c>
      <c r="B933" s="16" t="s">
        <v>57</v>
      </c>
      <c r="C933" s="14" t="s">
        <v>10</v>
      </c>
      <c r="D933" s="29">
        <v>200.0</v>
      </c>
      <c r="E933" s="6" t="s">
        <v>65</v>
      </c>
    </row>
    <row r="934">
      <c r="A934" s="14" t="s">
        <v>41</v>
      </c>
      <c r="B934" s="16" t="s">
        <v>58</v>
      </c>
      <c r="C934" s="14" t="s">
        <v>18</v>
      </c>
      <c r="D934" s="29">
        <v>200.0</v>
      </c>
      <c r="E934" s="6" t="s">
        <v>65</v>
      </c>
    </row>
    <row r="935">
      <c r="A935" s="14" t="s">
        <v>41</v>
      </c>
      <c r="B935" s="16" t="s">
        <v>58</v>
      </c>
      <c r="C935" s="14" t="s">
        <v>20</v>
      </c>
      <c r="D935" s="29">
        <v>200.0</v>
      </c>
      <c r="E935" s="6" t="s">
        <v>65</v>
      </c>
    </row>
    <row r="936">
      <c r="A936" s="14" t="s">
        <v>41</v>
      </c>
      <c r="B936" s="16" t="s">
        <v>58</v>
      </c>
      <c r="C936" s="14" t="s">
        <v>24</v>
      </c>
      <c r="D936" s="29">
        <v>200.0</v>
      </c>
      <c r="E936" s="6" t="s">
        <v>65</v>
      </c>
    </row>
    <row r="937">
      <c r="A937" s="14" t="s">
        <v>41</v>
      </c>
      <c r="B937" s="16" t="s">
        <v>58</v>
      </c>
      <c r="C937" s="14" t="s">
        <v>10</v>
      </c>
      <c r="D937" s="29">
        <v>200.0</v>
      </c>
      <c r="E937" s="6" t="s">
        <v>65</v>
      </c>
    </row>
    <row r="938">
      <c r="A938" s="14" t="s">
        <v>41</v>
      </c>
      <c r="B938" s="16" t="s">
        <v>59</v>
      </c>
      <c r="C938" s="14" t="s">
        <v>18</v>
      </c>
      <c r="D938" s="29">
        <v>200.0</v>
      </c>
      <c r="E938" s="6" t="s">
        <v>65</v>
      </c>
    </row>
    <row r="939">
      <c r="A939" s="14" t="s">
        <v>41</v>
      </c>
      <c r="B939" s="16" t="s">
        <v>59</v>
      </c>
      <c r="C939" s="14" t="s">
        <v>20</v>
      </c>
      <c r="D939" s="29">
        <v>200.0</v>
      </c>
      <c r="E939" s="6" t="s">
        <v>65</v>
      </c>
    </row>
    <row r="940">
      <c r="A940" s="14" t="s">
        <v>41</v>
      </c>
      <c r="B940" s="16" t="s">
        <v>59</v>
      </c>
      <c r="C940" s="14" t="s">
        <v>24</v>
      </c>
      <c r="D940" s="29">
        <v>200.0</v>
      </c>
      <c r="E940" s="6" t="s">
        <v>65</v>
      </c>
    </row>
    <row r="941">
      <c r="A941" s="14" t="s">
        <v>41</v>
      </c>
      <c r="B941" s="16" t="s">
        <v>59</v>
      </c>
      <c r="C941" s="14" t="s">
        <v>10</v>
      </c>
      <c r="D941" s="29">
        <v>200.0</v>
      </c>
      <c r="E941" s="6" t="s">
        <v>65</v>
      </c>
    </row>
    <row r="942">
      <c r="A942" s="14" t="s">
        <v>41</v>
      </c>
      <c r="B942" s="16" t="s">
        <v>60</v>
      </c>
      <c r="C942" s="14" t="s">
        <v>18</v>
      </c>
      <c r="D942" s="29">
        <v>200.0</v>
      </c>
      <c r="E942" s="6" t="s">
        <v>65</v>
      </c>
    </row>
    <row r="943">
      <c r="A943" s="14" t="s">
        <v>41</v>
      </c>
      <c r="B943" s="16" t="s">
        <v>60</v>
      </c>
      <c r="C943" s="14" t="s">
        <v>20</v>
      </c>
      <c r="D943" s="29">
        <v>200.0</v>
      </c>
      <c r="E943" s="6" t="s">
        <v>65</v>
      </c>
    </row>
    <row r="944">
      <c r="A944" s="14" t="s">
        <v>41</v>
      </c>
      <c r="B944" s="16" t="s">
        <v>60</v>
      </c>
      <c r="C944" s="14" t="s">
        <v>24</v>
      </c>
      <c r="D944" s="29">
        <v>200.0</v>
      </c>
      <c r="E944" s="6" t="s">
        <v>65</v>
      </c>
    </row>
    <row r="945">
      <c r="A945" s="14" t="s">
        <v>41</v>
      </c>
      <c r="B945" s="16" t="s">
        <v>60</v>
      </c>
      <c r="C945" s="14" t="s">
        <v>10</v>
      </c>
      <c r="D945" s="29">
        <v>200.0</v>
      </c>
      <c r="E945" s="6" t="s">
        <v>65</v>
      </c>
    </row>
    <row r="946">
      <c r="A946" s="14" t="s">
        <v>41</v>
      </c>
      <c r="B946" s="16" t="s">
        <v>61</v>
      </c>
      <c r="C946" s="14" t="s">
        <v>18</v>
      </c>
      <c r="D946" s="29">
        <v>200.0</v>
      </c>
      <c r="E946" s="6" t="s">
        <v>65</v>
      </c>
    </row>
    <row r="947">
      <c r="A947" s="14" t="s">
        <v>41</v>
      </c>
      <c r="B947" s="16" t="s">
        <v>61</v>
      </c>
      <c r="C947" s="14" t="s">
        <v>20</v>
      </c>
      <c r="D947" s="29">
        <v>200.0</v>
      </c>
      <c r="E947" s="6" t="s">
        <v>65</v>
      </c>
    </row>
    <row r="948">
      <c r="A948" s="14" t="s">
        <v>41</v>
      </c>
      <c r="B948" s="16" t="s">
        <v>61</v>
      </c>
      <c r="C948" s="14" t="s">
        <v>24</v>
      </c>
      <c r="D948" s="29">
        <v>200.0</v>
      </c>
      <c r="E948" s="6" t="s">
        <v>65</v>
      </c>
    </row>
    <row r="949">
      <c r="A949" s="14" t="s">
        <v>41</v>
      </c>
      <c r="B949" s="16" t="s">
        <v>61</v>
      </c>
      <c r="C949" s="14" t="s">
        <v>10</v>
      </c>
      <c r="D949" s="29">
        <v>200.0</v>
      </c>
      <c r="E949" s="6" t="s">
        <v>65</v>
      </c>
    </row>
    <row r="950">
      <c r="A950" s="14" t="s">
        <v>41</v>
      </c>
      <c r="B950" s="16" t="s">
        <v>62</v>
      </c>
      <c r="C950" s="14" t="s">
        <v>18</v>
      </c>
      <c r="D950" s="29">
        <v>200.0</v>
      </c>
      <c r="E950" s="6" t="s">
        <v>65</v>
      </c>
    </row>
    <row r="951">
      <c r="A951" s="14" t="s">
        <v>41</v>
      </c>
      <c r="B951" s="16" t="s">
        <v>62</v>
      </c>
      <c r="C951" s="14" t="s">
        <v>20</v>
      </c>
      <c r="D951" s="29">
        <v>200.0</v>
      </c>
      <c r="E951" s="6" t="s">
        <v>65</v>
      </c>
    </row>
    <row r="952">
      <c r="A952" s="14" t="s">
        <v>41</v>
      </c>
      <c r="B952" s="16" t="s">
        <v>62</v>
      </c>
      <c r="C952" s="14" t="s">
        <v>24</v>
      </c>
      <c r="D952" s="29">
        <v>200.0</v>
      </c>
      <c r="E952" s="6" t="s">
        <v>65</v>
      </c>
    </row>
    <row r="953">
      <c r="A953" s="14" t="s">
        <v>41</v>
      </c>
      <c r="B953" s="16" t="s">
        <v>62</v>
      </c>
      <c r="C953" s="14" t="s">
        <v>10</v>
      </c>
      <c r="D953" s="29">
        <v>200.0</v>
      </c>
      <c r="E953" s="6" t="s">
        <v>65</v>
      </c>
    </row>
    <row r="954">
      <c r="A954" s="14" t="s">
        <v>41</v>
      </c>
      <c r="B954" s="16" t="s">
        <v>63</v>
      </c>
      <c r="C954" s="14" t="s">
        <v>18</v>
      </c>
      <c r="D954" s="29">
        <v>200.0</v>
      </c>
      <c r="E954" s="6" t="s">
        <v>65</v>
      </c>
    </row>
    <row r="955">
      <c r="A955" s="14" t="s">
        <v>41</v>
      </c>
      <c r="B955" s="16" t="s">
        <v>63</v>
      </c>
      <c r="C955" s="14" t="s">
        <v>20</v>
      </c>
      <c r="D955" s="29">
        <v>200.0</v>
      </c>
      <c r="E955" s="6" t="s">
        <v>65</v>
      </c>
    </row>
    <row r="956">
      <c r="A956" s="14" t="s">
        <v>41</v>
      </c>
      <c r="B956" s="16" t="s">
        <v>63</v>
      </c>
      <c r="C956" s="14" t="s">
        <v>24</v>
      </c>
      <c r="D956" s="29">
        <v>200.0</v>
      </c>
      <c r="E956" s="6" t="s">
        <v>65</v>
      </c>
    </row>
    <row r="957">
      <c r="A957" s="14" t="s">
        <v>41</v>
      </c>
      <c r="B957" s="16" t="s">
        <v>63</v>
      </c>
      <c r="C957" s="14" t="s">
        <v>10</v>
      </c>
      <c r="D957" s="29">
        <v>200.0</v>
      </c>
      <c r="E957" s="6" t="s">
        <v>65</v>
      </c>
    </row>
    <row r="958">
      <c r="A958" s="14" t="s">
        <v>41</v>
      </c>
      <c r="B958" s="16" t="s">
        <v>64</v>
      </c>
      <c r="C958" s="14" t="s">
        <v>18</v>
      </c>
      <c r="D958" s="29">
        <v>200.0</v>
      </c>
      <c r="E958" s="6" t="s">
        <v>65</v>
      </c>
    </row>
    <row r="959">
      <c r="A959" s="14" t="s">
        <v>41</v>
      </c>
      <c r="B959" s="16" t="s">
        <v>64</v>
      </c>
      <c r="C959" s="14" t="s">
        <v>20</v>
      </c>
      <c r="D959" s="29">
        <v>200.0</v>
      </c>
      <c r="E959" s="6" t="s">
        <v>65</v>
      </c>
    </row>
    <row r="960">
      <c r="A960" s="14" t="s">
        <v>41</v>
      </c>
      <c r="B960" s="16" t="s">
        <v>64</v>
      </c>
      <c r="C960" s="14" t="s">
        <v>24</v>
      </c>
      <c r="D960" s="29">
        <v>200.0</v>
      </c>
      <c r="E960" s="6" t="s">
        <v>65</v>
      </c>
    </row>
    <row r="961">
      <c r="A961" s="14" t="s">
        <v>41</v>
      </c>
      <c r="B961" s="16" t="s">
        <v>64</v>
      </c>
      <c r="C961" s="14" t="s">
        <v>10</v>
      </c>
      <c r="D961" s="29">
        <v>200.0</v>
      </c>
      <c r="E961" s="6" t="s">
        <v>65</v>
      </c>
    </row>
    <row r="962">
      <c r="A962" s="14" t="s">
        <v>36</v>
      </c>
      <c r="B962" s="16" t="s">
        <v>5</v>
      </c>
      <c r="C962" s="14" t="s">
        <v>18</v>
      </c>
      <c r="D962" s="29">
        <v>250.0</v>
      </c>
      <c r="E962" s="6" t="s">
        <v>65</v>
      </c>
    </row>
    <row r="963">
      <c r="A963" s="14" t="s">
        <v>36</v>
      </c>
      <c r="B963" s="16" t="s">
        <v>5</v>
      </c>
      <c r="C963" s="14" t="s">
        <v>20</v>
      </c>
      <c r="D963" s="29">
        <v>400.0</v>
      </c>
      <c r="E963" s="6" t="s">
        <v>65</v>
      </c>
    </row>
    <row r="964">
      <c r="A964" s="14" t="s">
        <v>36</v>
      </c>
      <c r="B964" s="16" t="s">
        <v>5</v>
      </c>
      <c r="C964" s="14" t="s">
        <v>24</v>
      </c>
      <c r="D964" s="29">
        <v>700.0</v>
      </c>
      <c r="E964" s="6" t="s">
        <v>65</v>
      </c>
    </row>
    <row r="965">
      <c r="A965" s="14" t="s">
        <v>36</v>
      </c>
      <c r="B965" s="16" t="s">
        <v>5</v>
      </c>
      <c r="C965" s="14" t="s">
        <v>10</v>
      </c>
      <c r="D965" s="29">
        <v>1200.0</v>
      </c>
      <c r="E965" s="6" t="s">
        <v>65</v>
      </c>
    </row>
    <row r="966">
      <c r="A966" s="14" t="s">
        <v>36</v>
      </c>
      <c r="B966" s="16" t="s">
        <v>27</v>
      </c>
      <c r="C966" s="14" t="s">
        <v>18</v>
      </c>
      <c r="D966" s="29">
        <v>250.0</v>
      </c>
      <c r="E966" s="6" t="s">
        <v>65</v>
      </c>
    </row>
    <row r="967">
      <c r="A967" s="14" t="s">
        <v>36</v>
      </c>
      <c r="B967" s="16" t="s">
        <v>27</v>
      </c>
      <c r="C967" s="14" t="s">
        <v>20</v>
      </c>
      <c r="D967" s="29">
        <v>400.0</v>
      </c>
      <c r="E967" s="6" t="s">
        <v>65</v>
      </c>
    </row>
    <row r="968">
      <c r="A968" s="14" t="s">
        <v>36</v>
      </c>
      <c r="B968" s="16" t="s">
        <v>27</v>
      </c>
      <c r="C968" s="14" t="s">
        <v>24</v>
      </c>
      <c r="D968" s="29">
        <v>700.0</v>
      </c>
      <c r="E968" s="6" t="s">
        <v>65</v>
      </c>
    </row>
    <row r="969">
      <c r="A969" s="14" t="s">
        <v>36</v>
      </c>
      <c r="B969" s="16" t="s">
        <v>27</v>
      </c>
      <c r="C969" s="14" t="s">
        <v>10</v>
      </c>
      <c r="D969" s="29">
        <v>1200.0</v>
      </c>
      <c r="E969" s="6" t="s">
        <v>65</v>
      </c>
    </row>
    <row r="970">
      <c r="A970" s="14" t="s">
        <v>36</v>
      </c>
      <c r="B970" s="16" t="s">
        <v>32</v>
      </c>
      <c r="C970" s="14" t="s">
        <v>18</v>
      </c>
      <c r="D970" s="29">
        <v>250.0</v>
      </c>
      <c r="E970" s="6" t="s">
        <v>65</v>
      </c>
    </row>
    <row r="971">
      <c r="A971" s="14" t="s">
        <v>36</v>
      </c>
      <c r="B971" s="16" t="s">
        <v>32</v>
      </c>
      <c r="C971" s="14" t="s">
        <v>20</v>
      </c>
      <c r="D971" s="29">
        <v>400.0</v>
      </c>
      <c r="E971" s="6" t="s">
        <v>65</v>
      </c>
    </row>
    <row r="972">
      <c r="A972" s="14" t="s">
        <v>36</v>
      </c>
      <c r="B972" s="16" t="s">
        <v>32</v>
      </c>
      <c r="C972" s="14" t="s">
        <v>24</v>
      </c>
      <c r="D972" s="29">
        <v>700.0</v>
      </c>
      <c r="E972" s="6" t="s">
        <v>65</v>
      </c>
    </row>
    <row r="973">
      <c r="A973" s="14" t="s">
        <v>36</v>
      </c>
      <c r="B973" s="16" t="s">
        <v>32</v>
      </c>
      <c r="C973" s="14" t="s">
        <v>10</v>
      </c>
      <c r="D973" s="29">
        <v>1200.0</v>
      </c>
      <c r="E973" s="6" t="s">
        <v>65</v>
      </c>
    </row>
    <row r="974">
      <c r="A974" s="14" t="s">
        <v>36</v>
      </c>
      <c r="B974" s="16" t="s">
        <v>37</v>
      </c>
      <c r="C974" s="14" t="s">
        <v>18</v>
      </c>
      <c r="D974" s="29">
        <v>250.0</v>
      </c>
      <c r="E974" s="6" t="s">
        <v>65</v>
      </c>
    </row>
    <row r="975">
      <c r="A975" s="14" t="s">
        <v>36</v>
      </c>
      <c r="B975" s="16" t="s">
        <v>37</v>
      </c>
      <c r="C975" s="14" t="s">
        <v>20</v>
      </c>
      <c r="D975" s="29">
        <v>400.0</v>
      </c>
      <c r="E975" s="6" t="s">
        <v>65</v>
      </c>
    </row>
    <row r="976">
      <c r="A976" s="14" t="s">
        <v>36</v>
      </c>
      <c r="B976" s="16" t="s">
        <v>37</v>
      </c>
      <c r="C976" s="14" t="s">
        <v>24</v>
      </c>
      <c r="D976" s="29">
        <v>700.0</v>
      </c>
      <c r="E976" s="6" t="s">
        <v>65</v>
      </c>
    </row>
    <row r="977">
      <c r="A977" s="14" t="s">
        <v>36</v>
      </c>
      <c r="B977" s="16" t="s">
        <v>37</v>
      </c>
      <c r="C977" s="14" t="s">
        <v>10</v>
      </c>
      <c r="D977" s="29">
        <v>1200.0</v>
      </c>
      <c r="E977" s="6" t="s">
        <v>65</v>
      </c>
    </row>
    <row r="978">
      <c r="A978" s="14" t="s">
        <v>36</v>
      </c>
      <c r="B978" s="16" t="s">
        <v>40</v>
      </c>
      <c r="C978" s="14" t="s">
        <v>18</v>
      </c>
      <c r="D978" s="29">
        <v>250.0</v>
      </c>
      <c r="E978" s="6" t="s">
        <v>65</v>
      </c>
    </row>
    <row r="979">
      <c r="A979" s="14" t="s">
        <v>36</v>
      </c>
      <c r="B979" s="16" t="s">
        <v>40</v>
      </c>
      <c r="C979" s="14" t="s">
        <v>20</v>
      </c>
      <c r="D979" s="29">
        <v>400.0</v>
      </c>
      <c r="E979" s="6" t="s">
        <v>65</v>
      </c>
    </row>
    <row r="980">
      <c r="A980" s="14" t="s">
        <v>36</v>
      </c>
      <c r="B980" s="16" t="s">
        <v>40</v>
      </c>
      <c r="C980" s="14" t="s">
        <v>24</v>
      </c>
      <c r="D980" s="29">
        <v>700.0</v>
      </c>
      <c r="E980" s="6" t="s">
        <v>65</v>
      </c>
    </row>
    <row r="981">
      <c r="A981" s="14" t="s">
        <v>36</v>
      </c>
      <c r="B981" s="16" t="s">
        <v>40</v>
      </c>
      <c r="C981" s="14" t="s">
        <v>10</v>
      </c>
      <c r="D981" s="29">
        <v>1200.0</v>
      </c>
      <c r="E981" s="6" t="s">
        <v>65</v>
      </c>
    </row>
    <row r="982">
      <c r="A982" s="14" t="s">
        <v>36</v>
      </c>
      <c r="B982" s="16" t="s">
        <v>42</v>
      </c>
      <c r="C982" s="14" t="s">
        <v>18</v>
      </c>
      <c r="D982" s="29">
        <v>250.0</v>
      </c>
      <c r="E982" s="6" t="s">
        <v>65</v>
      </c>
    </row>
    <row r="983">
      <c r="A983" s="14" t="s">
        <v>36</v>
      </c>
      <c r="B983" s="16" t="s">
        <v>42</v>
      </c>
      <c r="C983" s="14" t="s">
        <v>20</v>
      </c>
      <c r="D983" s="29">
        <v>400.0</v>
      </c>
      <c r="E983" s="6" t="s">
        <v>65</v>
      </c>
    </row>
    <row r="984">
      <c r="A984" s="14" t="s">
        <v>36</v>
      </c>
      <c r="B984" s="16" t="s">
        <v>42</v>
      </c>
      <c r="C984" s="14" t="s">
        <v>24</v>
      </c>
      <c r="D984" s="29">
        <v>700.0</v>
      </c>
      <c r="E984" s="6" t="s">
        <v>65</v>
      </c>
    </row>
    <row r="985">
      <c r="A985" s="14" t="s">
        <v>36</v>
      </c>
      <c r="B985" s="16" t="s">
        <v>42</v>
      </c>
      <c r="C985" s="14" t="s">
        <v>10</v>
      </c>
      <c r="D985" s="29">
        <v>1200.0</v>
      </c>
      <c r="E985" s="6" t="s">
        <v>65</v>
      </c>
    </row>
    <row r="986">
      <c r="A986" s="14" t="s">
        <v>36</v>
      </c>
      <c r="B986" s="16" t="s">
        <v>43</v>
      </c>
      <c r="C986" s="14" t="s">
        <v>18</v>
      </c>
      <c r="D986" s="29">
        <v>250.0</v>
      </c>
      <c r="E986" s="6" t="s">
        <v>65</v>
      </c>
    </row>
    <row r="987">
      <c r="A987" s="14" t="s">
        <v>36</v>
      </c>
      <c r="B987" s="16" t="s">
        <v>43</v>
      </c>
      <c r="C987" s="14" t="s">
        <v>20</v>
      </c>
      <c r="D987" s="29">
        <v>400.0</v>
      </c>
      <c r="E987" s="6" t="s">
        <v>65</v>
      </c>
    </row>
    <row r="988">
      <c r="A988" s="14" t="s">
        <v>36</v>
      </c>
      <c r="B988" s="16" t="s">
        <v>43</v>
      </c>
      <c r="C988" s="14" t="s">
        <v>24</v>
      </c>
      <c r="D988" s="29">
        <v>700.0</v>
      </c>
      <c r="E988" s="6" t="s">
        <v>65</v>
      </c>
    </row>
    <row r="989">
      <c r="A989" s="14" t="s">
        <v>36</v>
      </c>
      <c r="B989" s="16" t="s">
        <v>43</v>
      </c>
      <c r="C989" s="14" t="s">
        <v>10</v>
      </c>
      <c r="D989" s="29">
        <v>1200.0</v>
      </c>
      <c r="E989" s="6" t="s">
        <v>65</v>
      </c>
    </row>
    <row r="990">
      <c r="A990" s="14" t="s">
        <v>36</v>
      </c>
      <c r="B990" s="16" t="s">
        <v>44</v>
      </c>
      <c r="C990" s="14" t="s">
        <v>18</v>
      </c>
      <c r="D990" s="29">
        <v>250.0</v>
      </c>
      <c r="E990" s="6" t="s">
        <v>65</v>
      </c>
    </row>
    <row r="991">
      <c r="A991" s="14" t="s">
        <v>36</v>
      </c>
      <c r="B991" s="16" t="s">
        <v>44</v>
      </c>
      <c r="C991" s="14" t="s">
        <v>20</v>
      </c>
      <c r="D991" s="29">
        <v>400.0</v>
      </c>
      <c r="E991" s="6" t="s">
        <v>65</v>
      </c>
    </row>
    <row r="992">
      <c r="A992" s="14" t="s">
        <v>36</v>
      </c>
      <c r="B992" s="16" t="s">
        <v>44</v>
      </c>
      <c r="C992" s="14" t="s">
        <v>24</v>
      </c>
      <c r="D992" s="29">
        <v>700.0</v>
      </c>
      <c r="E992" s="6" t="s">
        <v>65</v>
      </c>
    </row>
    <row r="993">
      <c r="A993" s="14" t="s">
        <v>36</v>
      </c>
      <c r="B993" s="16" t="s">
        <v>44</v>
      </c>
      <c r="C993" s="14" t="s">
        <v>10</v>
      </c>
      <c r="D993" s="29">
        <v>1200.0</v>
      </c>
      <c r="E993" s="6" t="s">
        <v>65</v>
      </c>
    </row>
    <row r="994">
      <c r="A994" s="14" t="s">
        <v>36</v>
      </c>
      <c r="B994" s="16" t="s">
        <v>49</v>
      </c>
      <c r="C994" s="14" t="s">
        <v>18</v>
      </c>
      <c r="D994" s="29">
        <v>250.0</v>
      </c>
      <c r="E994" s="6" t="s">
        <v>65</v>
      </c>
    </row>
    <row r="995">
      <c r="A995" s="14" t="s">
        <v>36</v>
      </c>
      <c r="B995" s="16" t="s">
        <v>49</v>
      </c>
      <c r="C995" s="14" t="s">
        <v>20</v>
      </c>
      <c r="D995" s="29">
        <v>400.0</v>
      </c>
      <c r="E995" s="6" t="s">
        <v>65</v>
      </c>
    </row>
    <row r="996">
      <c r="A996" s="14" t="s">
        <v>36</v>
      </c>
      <c r="B996" s="16" t="s">
        <v>49</v>
      </c>
      <c r="C996" s="14" t="s">
        <v>24</v>
      </c>
      <c r="D996" s="29">
        <v>700.0</v>
      </c>
      <c r="E996" s="6" t="s">
        <v>65</v>
      </c>
    </row>
    <row r="997">
      <c r="A997" s="14" t="s">
        <v>36</v>
      </c>
      <c r="B997" s="16" t="s">
        <v>49</v>
      </c>
      <c r="C997" s="14" t="s">
        <v>10</v>
      </c>
      <c r="D997" s="29">
        <v>1200.0</v>
      </c>
      <c r="E997" s="6" t="s">
        <v>65</v>
      </c>
    </row>
    <row r="998">
      <c r="A998" s="14" t="s">
        <v>36</v>
      </c>
      <c r="B998" s="16" t="s">
        <v>50</v>
      </c>
      <c r="C998" s="14" t="s">
        <v>18</v>
      </c>
      <c r="D998" s="29">
        <v>250.0</v>
      </c>
      <c r="E998" s="6" t="s">
        <v>65</v>
      </c>
    </row>
    <row r="999">
      <c r="A999" s="14" t="s">
        <v>36</v>
      </c>
      <c r="B999" s="16" t="s">
        <v>50</v>
      </c>
      <c r="C999" s="14" t="s">
        <v>20</v>
      </c>
      <c r="D999" s="29">
        <v>400.0</v>
      </c>
      <c r="E999" s="6" t="s">
        <v>65</v>
      </c>
    </row>
    <row r="1000">
      <c r="A1000" s="14" t="s">
        <v>36</v>
      </c>
      <c r="B1000" s="16" t="s">
        <v>50</v>
      </c>
      <c r="C1000" s="14" t="s">
        <v>24</v>
      </c>
      <c r="D1000" s="29">
        <v>700.0</v>
      </c>
      <c r="E1000" s="6" t="s">
        <v>65</v>
      </c>
    </row>
    <row r="1001">
      <c r="A1001" s="14" t="s">
        <v>36</v>
      </c>
      <c r="B1001" s="16" t="s">
        <v>50</v>
      </c>
      <c r="C1001" s="14" t="s">
        <v>10</v>
      </c>
      <c r="D1001" s="29">
        <v>1200.0</v>
      </c>
      <c r="E1001" s="6" t="s">
        <v>65</v>
      </c>
    </row>
    <row r="1002">
      <c r="A1002" s="14" t="s">
        <v>36</v>
      </c>
      <c r="B1002" s="16" t="s">
        <v>11</v>
      </c>
      <c r="C1002" s="14" t="s">
        <v>18</v>
      </c>
      <c r="D1002" s="29">
        <v>250.0</v>
      </c>
      <c r="E1002" s="6" t="s">
        <v>65</v>
      </c>
    </row>
    <row r="1003">
      <c r="A1003" s="14" t="s">
        <v>36</v>
      </c>
      <c r="B1003" s="16" t="s">
        <v>11</v>
      </c>
      <c r="C1003" s="14" t="s">
        <v>20</v>
      </c>
      <c r="D1003" s="29">
        <v>400.0</v>
      </c>
      <c r="E1003" s="6" t="s">
        <v>65</v>
      </c>
    </row>
    <row r="1004">
      <c r="A1004" s="14" t="s">
        <v>36</v>
      </c>
      <c r="B1004" s="16" t="s">
        <v>11</v>
      </c>
      <c r="C1004" s="14" t="s">
        <v>24</v>
      </c>
      <c r="D1004" s="29">
        <v>700.0</v>
      </c>
      <c r="E1004" s="6" t="s">
        <v>65</v>
      </c>
    </row>
    <row r="1005">
      <c r="A1005" s="14" t="s">
        <v>36</v>
      </c>
      <c r="B1005" s="16" t="s">
        <v>11</v>
      </c>
      <c r="C1005" s="14" t="s">
        <v>10</v>
      </c>
      <c r="D1005" s="29">
        <v>1200.0</v>
      </c>
      <c r="E1005" s="6" t="s">
        <v>65</v>
      </c>
    </row>
    <row r="1006">
      <c r="A1006" s="14" t="s">
        <v>36</v>
      </c>
      <c r="B1006" s="16" t="s">
        <v>55</v>
      </c>
      <c r="C1006" s="14" t="s">
        <v>18</v>
      </c>
      <c r="D1006" s="29">
        <v>250.0</v>
      </c>
      <c r="E1006" s="6" t="s">
        <v>65</v>
      </c>
    </row>
    <row r="1007">
      <c r="A1007" s="14" t="s">
        <v>36</v>
      </c>
      <c r="B1007" s="16" t="s">
        <v>55</v>
      </c>
      <c r="C1007" s="14" t="s">
        <v>20</v>
      </c>
      <c r="D1007" s="29">
        <v>400.0</v>
      </c>
      <c r="E1007" s="6" t="s">
        <v>65</v>
      </c>
    </row>
    <row r="1008">
      <c r="A1008" s="14" t="s">
        <v>36</v>
      </c>
      <c r="B1008" s="16" t="s">
        <v>55</v>
      </c>
      <c r="C1008" s="14" t="s">
        <v>24</v>
      </c>
      <c r="D1008" s="29">
        <v>700.0</v>
      </c>
      <c r="E1008" s="6" t="s">
        <v>65</v>
      </c>
    </row>
    <row r="1009">
      <c r="A1009" s="14" t="s">
        <v>36</v>
      </c>
      <c r="B1009" s="16" t="s">
        <v>55</v>
      </c>
      <c r="C1009" s="14" t="s">
        <v>10</v>
      </c>
      <c r="D1009" s="29">
        <v>1200.0</v>
      </c>
      <c r="E1009" s="6" t="s">
        <v>65</v>
      </c>
    </row>
    <row r="1010">
      <c r="A1010" s="14" t="s">
        <v>36</v>
      </c>
      <c r="B1010" s="16" t="s">
        <v>57</v>
      </c>
      <c r="C1010" s="14" t="s">
        <v>18</v>
      </c>
      <c r="D1010" s="29">
        <v>250.0</v>
      </c>
      <c r="E1010" s="6" t="s">
        <v>65</v>
      </c>
    </row>
    <row r="1011">
      <c r="A1011" s="14" t="s">
        <v>36</v>
      </c>
      <c r="B1011" s="16" t="s">
        <v>57</v>
      </c>
      <c r="C1011" s="14" t="s">
        <v>20</v>
      </c>
      <c r="D1011" s="29">
        <v>400.0</v>
      </c>
      <c r="E1011" s="6" t="s">
        <v>65</v>
      </c>
    </row>
    <row r="1012">
      <c r="A1012" s="14" t="s">
        <v>36</v>
      </c>
      <c r="B1012" s="16" t="s">
        <v>57</v>
      </c>
      <c r="C1012" s="14" t="s">
        <v>24</v>
      </c>
      <c r="D1012" s="29">
        <v>700.0</v>
      </c>
      <c r="E1012" s="6" t="s">
        <v>65</v>
      </c>
    </row>
    <row r="1013">
      <c r="A1013" s="14" t="s">
        <v>36</v>
      </c>
      <c r="B1013" s="16" t="s">
        <v>57</v>
      </c>
      <c r="C1013" s="14" t="s">
        <v>10</v>
      </c>
      <c r="D1013" s="29">
        <v>1200.0</v>
      </c>
      <c r="E1013" s="6" t="s">
        <v>65</v>
      </c>
    </row>
    <row r="1014">
      <c r="A1014" s="14" t="s">
        <v>36</v>
      </c>
      <c r="B1014" s="16" t="s">
        <v>58</v>
      </c>
      <c r="C1014" s="14" t="s">
        <v>18</v>
      </c>
      <c r="D1014" s="29">
        <v>250.0</v>
      </c>
      <c r="E1014" s="6" t="s">
        <v>65</v>
      </c>
    </row>
    <row r="1015">
      <c r="A1015" s="14" t="s">
        <v>36</v>
      </c>
      <c r="B1015" s="16" t="s">
        <v>58</v>
      </c>
      <c r="C1015" s="14" t="s">
        <v>20</v>
      </c>
      <c r="D1015" s="29">
        <v>400.0</v>
      </c>
      <c r="E1015" s="6" t="s">
        <v>65</v>
      </c>
    </row>
    <row r="1016">
      <c r="A1016" s="14" t="s">
        <v>36</v>
      </c>
      <c r="B1016" s="16" t="s">
        <v>58</v>
      </c>
      <c r="C1016" s="14" t="s">
        <v>24</v>
      </c>
      <c r="D1016" s="29">
        <v>700.0</v>
      </c>
      <c r="E1016" s="6" t="s">
        <v>65</v>
      </c>
    </row>
    <row r="1017">
      <c r="A1017" s="14" t="s">
        <v>36</v>
      </c>
      <c r="B1017" s="16" t="s">
        <v>58</v>
      </c>
      <c r="C1017" s="14" t="s">
        <v>10</v>
      </c>
      <c r="D1017" s="29">
        <v>1200.0</v>
      </c>
      <c r="E1017" s="6" t="s">
        <v>65</v>
      </c>
    </row>
    <row r="1018">
      <c r="A1018" s="14" t="s">
        <v>36</v>
      </c>
      <c r="B1018" s="16" t="s">
        <v>59</v>
      </c>
      <c r="C1018" s="14" t="s">
        <v>18</v>
      </c>
      <c r="D1018" s="29">
        <v>250.0</v>
      </c>
      <c r="E1018" s="6" t="s">
        <v>65</v>
      </c>
    </row>
    <row r="1019">
      <c r="A1019" s="14" t="s">
        <v>36</v>
      </c>
      <c r="B1019" s="16" t="s">
        <v>59</v>
      </c>
      <c r="C1019" s="14" t="s">
        <v>20</v>
      </c>
      <c r="D1019" s="29">
        <v>400.0</v>
      </c>
      <c r="E1019" s="6" t="s">
        <v>65</v>
      </c>
    </row>
    <row r="1020">
      <c r="A1020" s="14" t="s">
        <v>36</v>
      </c>
      <c r="B1020" s="16" t="s">
        <v>59</v>
      </c>
      <c r="C1020" s="14" t="s">
        <v>24</v>
      </c>
      <c r="D1020" s="29">
        <v>700.0</v>
      </c>
      <c r="E1020" s="6" t="s">
        <v>65</v>
      </c>
    </row>
    <row r="1021">
      <c r="A1021" s="14" t="s">
        <v>36</v>
      </c>
      <c r="B1021" s="16" t="s">
        <v>59</v>
      </c>
      <c r="C1021" s="14" t="s">
        <v>10</v>
      </c>
      <c r="D1021" s="29">
        <v>1200.0</v>
      </c>
      <c r="E1021" s="6" t="s">
        <v>65</v>
      </c>
    </row>
    <row r="1022">
      <c r="A1022" s="14" t="s">
        <v>36</v>
      </c>
      <c r="B1022" s="16" t="s">
        <v>60</v>
      </c>
      <c r="C1022" s="14" t="s">
        <v>18</v>
      </c>
      <c r="D1022" s="29">
        <v>250.0</v>
      </c>
      <c r="E1022" s="6" t="s">
        <v>65</v>
      </c>
    </row>
    <row r="1023">
      <c r="A1023" s="14" t="s">
        <v>36</v>
      </c>
      <c r="B1023" s="16" t="s">
        <v>60</v>
      </c>
      <c r="C1023" s="14" t="s">
        <v>20</v>
      </c>
      <c r="D1023" s="29">
        <v>400.0</v>
      </c>
      <c r="E1023" s="6" t="s">
        <v>65</v>
      </c>
    </row>
    <row r="1024">
      <c r="A1024" s="14" t="s">
        <v>36</v>
      </c>
      <c r="B1024" s="16" t="s">
        <v>60</v>
      </c>
      <c r="C1024" s="14" t="s">
        <v>24</v>
      </c>
      <c r="D1024" s="29">
        <v>700.0</v>
      </c>
      <c r="E1024" s="6" t="s">
        <v>65</v>
      </c>
    </row>
    <row r="1025">
      <c r="A1025" s="14" t="s">
        <v>36</v>
      </c>
      <c r="B1025" s="16" t="s">
        <v>60</v>
      </c>
      <c r="C1025" s="14" t="s">
        <v>10</v>
      </c>
      <c r="D1025" s="29">
        <v>1200.0</v>
      </c>
      <c r="E1025" s="6" t="s">
        <v>65</v>
      </c>
    </row>
    <row r="1026">
      <c r="A1026" s="14" t="s">
        <v>36</v>
      </c>
      <c r="B1026" s="16" t="s">
        <v>61</v>
      </c>
      <c r="C1026" s="14" t="s">
        <v>18</v>
      </c>
      <c r="D1026" s="29">
        <v>250.0</v>
      </c>
      <c r="E1026" s="6" t="s">
        <v>65</v>
      </c>
    </row>
    <row r="1027">
      <c r="A1027" s="14" t="s">
        <v>36</v>
      </c>
      <c r="B1027" s="16" t="s">
        <v>61</v>
      </c>
      <c r="C1027" s="14" t="s">
        <v>20</v>
      </c>
      <c r="D1027" s="29">
        <v>400.0</v>
      </c>
      <c r="E1027" s="6" t="s">
        <v>65</v>
      </c>
    </row>
    <row r="1028">
      <c r="A1028" s="14" t="s">
        <v>36</v>
      </c>
      <c r="B1028" s="16" t="s">
        <v>61</v>
      </c>
      <c r="C1028" s="14" t="s">
        <v>24</v>
      </c>
      <c r="D1028" s="29">
        <v>700.0</v>
      </c>
      <c r="E1028" s="6" t="s">
        <v>65</v>
      </c>
    </row>
    <row r="1029">
      <c r="A1029" s="14" t="s">
        <v>36</v>
      </c>
      <c r="B1029" s="16" t="s">
        <v>61</v>
      </c>
      <c r="C1029" s="14" t="s">
        <v>10</v>
      </c>
      <c r="D1029" s="29">
        <v>1200.0</v>
      </c>
      <c r="E1029" s="6" t="s">
        <v>65</v>
      </c>
    </row>
    <row r="1030">
      <c r="A1030" s="14" t="s">
        <v>36</v>
      </c>
      <c r="B1030" s="16" t="s">
        <v>62</v>
      </c>
      <c r="C1030" s="14" t="s">
        <v>18</v>
      </c>
      <c r="D1030" s="29">
        <v>250.0</v>
      </c>
      <c r="E1030" s="6" t="s">
        <v>65</v>
      </c>
    </row>
    <row r="1031">
      <c r="A1031" s="14" t="s">
        <v>36</v>
      </c>
      <c r="B1031" s="16" t="s">
        <v>62</v>
      </c>
      <c r="C1031" s="14" t="s">
        <v>20</v>
      </c>
      <c r="D1031" s="29">
        <v>400.0</v>
      </c>
      <c r="E1031" s="6" t="s">
        <v>65</v>
      </c>
    </row>
    <row r="1032">
      <c r="A1032" s="14" t="s">
        <v>36</v>
      </c>
      <c r="B1032" s="16" t="s">
        <v>62</v>
      </c>
      <c r="C1032" s="14" t="s">
        <v>24</v>
      </c>
      <c r="D1032" s="29">
        <v>700.0</v>
      </c>
      <c r="E1032" s="6" t="s">
        <v>65</v>
      </c>
    </row>
    <row r="1033">
      <c r="A1033" s="14" t="s">
        <v>36</v>
      </c>
      <c r="B1033" s="16" t="s">
        <v>62</v>
      </c>
      <c r="C1033" s="14" t="s">
        <v>10</v>
      </c>
      <c r="D1033" s="29">
        <v>1200.0</v>
      </c>
      <c r="E1033" s="6" t="s">
        <v>65</v>
      </c>
    </row>
    <row r="1034">
      <c r="A1034" s="14" t="s">
        <v>36</v>
      </c>
      <c r="B1034" s="16" t="s">
        <v>63</v>
      </c>
      <c r="C1034" s="14" t="s">
        <v>18</v>
      </c>
      <c r="D1034" s="29">
        <v>250.0</v>
      </c>
      <c r="E1034" s="6" t="s">
        <v>65</v>
      </c>
    </row>
    <row r="1035">
      <c r="A1035" s="14" t="s">
        <v>36</v>
      </c>
      <c r="B1035" s="16" t="s">
        <v>63</v>
      </c>
      <c r="C1035" s="14" t="s">
        <v>20</v>
      </c>
      <c r="D1035" s="29">
        <v>400.0</v>
      </c>
      <c r="E1035" s="6" t="s">
        <v>65</v>
      </c>
    </row>
    <row r="1036">
      <c r="A1036" s="14" t="s">
        <v>36</v>
      </c>
      <c r="B1036" s="16" t="s">
        <v>63</v>
      </c>
      <c r="C1036" s="14" t="s">
        <v>24</v>
      </c>
      <c r="D1036" s="29">
        <v>700.0</v>
      </c>
      <c r="E1036" s="6" t="s">
        <v>65</v>
      </c>
    </row>
    <row r="1037">
      <c r="A1037" s="14" t="s">
        <v>36</v>
      </c>
      <c r="B1037" s="16" t="s">
        <v>63</v>
      </c>
      <c r="C1037" s="14" t="s">
        <v>10</v>
      </c>
      <c r="D1037" s="29">
        <v>1200.0</v>
      </c>
      <c r="E1037" s="6" t="s">
        <v>65</v>
      </c>
    </row>
    <row r="1038">
      <c r="A1038" s="14" t="s">
        <v>36</v>
      </c>
      <c r="B1038" s="16" t="s">
        <v>64</v>
      </c>
      <c r="C1038" s="14" t="s">
        <v>18</v>
      </c>
      <c r="D1038" s="29">
        <v>250.0</v>
      </c>
      <c r="E1038" s="6" t="s">
        <v>65</v>
      </c>
    </row>
    <row r="1039">
      <c r="A1039" s="14" t="s">
        <v>36</v>
      </c>
      <c r="B1039" s="16" t="s">
        <v>64</v>
      </c>
      <c r="C1039" s="14" t="s">
        <v>20</v>
      </c>
      <c r="D1039" s="29">
        <v>400.0</v>
      </c>
      <c r="E1039" s="6" t="s">
        <v>65</v>
      </c>
    </row>
    <row r="1040">
      <c r="A1040" s="14" t="s">
        <v>36</v>
      </c>
      <c r="B1040" s="16" t="s">
        <v>64</v>
      </c>
      <c r="C1040" s="14" t="s">
        <v>24</v>
      </c>
      <c r="D1040" s="29">
        <v>700.0</v>
      </c>
      <c r="E1040" s="6" t="s">
        <v>65</v>
      </c>
    </row>
    <row r="1041">
      <c r="A1041" s="14" t="s">
        <v>36</v>
      </c>
      <c r="B1041" s="16" t="s">
        <v>64</v>
      </c>
      <c r="C1041" s="14" t="s">
        <v>10</v>
      </c>
      <c r="D1041" s="29">
        <v>1200.0</v>
      </c>
      <c r="E1041" s="6" t="s">
        <v>65</v>
      </c>
    </row>
  </sheetData>
  <mergeCells count="2">
    <mergeCell ref="H2:K2"/>
    <mergeCell ref="H30:K3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13.38"/>
    <col customWidth="1" min="4" max="6" width="12.63"/>
  </cols>
  <sheetData>
    <row r="1" ht="15.75" customHeight="1">
      <c r="C1" s="16"/>
    </row>
    <row r="2" ht="15.75" customHeight="1">
      <c r="B2" s="28" t="s">
        <v>4</v>
      </c>
      <c r="C2" s="28" t="s">
        <v>66</v>
      </c>
      <c r="D2" s="28" t="s">
        <v>67</v>
      </c>
      <c r="E2" s="28" t="s">
        <v>68</v>
      </c>
      <c r="F2" s="28" t="s">
        <v>69</v>
      </c>
      <c r="G2" s="28" t="s">
        <v>70</v>
      </c>
      <c r="H2" s="28" t="s">
        <v>71</v>
      </c>
    </row>
    <row r="3" ht="15.75" customHeight="1">
      <c r="B3" s="16" t="s">
        <v>5</v>
      </c>
      <c r="C3" s="16" t="s">
        <v>72</v>
      </c>
      <c r="D3" s="16" t="s">
        <v>73</v>
      </c>
      <c r="E3" s="30">
        <v>25.0</v>
      </c>
      <c r="F3" s="16">
        <v>0.0</v>
      </c>
      <c r="G3" s="16">
        <v>250.0</v>
      </c>
      <c r="H3" s="31" t="s">
        <v>71</v>
      </c>
    </row>
    <row r="4" ht="15.75" customHeight="1">
      <c r="B4" s="16" t="s">
        <v>5</v>
      </c>
      <c r="C4" s="16" t="s">
        <v>72</v>
      </c>
      <c r="D4" s="16" t="s">
        <v>74</v>
      </c>
      <c r="E4" s="30">
        <v>30.0</v>
      </c>
      <c r="F4" s="16">
        <v>0.0</v>
      </c>
      <c r="G4" s="16">
        <v>75.0</v>
      </c>
      <c r="H4" s="31" t="s">
        <v>71</v>
      </c>
    </row>
    <row r="5" ht="15.75" customHeight="1">
      <c r="B5" s="16" t="s">
        <v>5</v>
      </c>
      <c r="C5" s="16" t="s">
        <v>72</v>
      </c>
      <c r="D5" s="16" t="s">
        <v>75</v>
      </c>
      <c r="E5" s="30">
        <v>35.0</v>
      </c>
      <c r="F5" s="16">
        <v>4.7</v>
      </c>
      <c r="G5" s="16">
        <v>350.0</v>
      </c>
      <c r="H5" s="31" t="s">
        <v>71</v>
      </c>
    </row>
    <row r="6" ht="15.75" customHeight="1">
      <c r="B6" s="16" t="s">
        <v>5</v>
      </c>
      <c r="C6" s="16" t="s">
        <v>72</v>
      </c>
      <c r="D6" s="16" t="s">
        <v>76</v>
      </c>
      <c r="E6" s="30">
        <v>35.0</v>
      </c>
      <c r="F6" s="16">
        <v>0.0</v>
      </c>
      <c r="G6" s="16">
        <v>400.0</v>
      </c>
      <c r="H6" s="31" t="s">
        <v>71</v>
      </c>
    </row>
    <row r="7" ht="15.75" customHeight="1">
      <c r="B7" s="16" t="s">
        <v>5</v>
      </c>
      <c r="C7" s="16" t="s">
        <v>77</v>
      </c>
      <c r="D7" s="16" t="s">
        <v>78</v>
      </c>
      <c r="E7" s="30">
        <v>35.0</v>
      </c>
      <c r="F7" s="16">
        <v>4.6</v>
      </c>
      <c r="G7" s="16">
        <v>180.0</v>
      </c>
      <c r="H7" s="31" t="s">
        <v>71</v>
      </c>
    </row>
    <row r="8" ht="15.75" customHeight="1">
      <c r="B8" s="16" t="s">
        <v>5</v>
      </c>
      <c r="C8" s="16" t="s">
        <v>72</v>
      </c>
      <c r="D8" s="16" t="s">
        <v>79</v>
      </c>
      <c r="E8" s="30">
        <v>40.0</v>
      </c>
      <c r="F8" s="16">
        <v>4.9</v>
      </c>
      <c r="G8" s="16">
        <v>300.0</v>
      </c>
      <c r="H8" s="31" t="s">
        <v>71</v>
      </c>
    </row>
    <row r="9" ht="15.75" customHeight="1">
      <c r="B9" s="16" t="s">
        <v>5</v>
      </c>
      <c r="C9" s="16" t="s">
        <v>72</v>
      </c>
      <c r="D9" s="16" t="s">
        <v>80</v>
      </c>
      <c r="E9" s="30">
        <v>40.0</v>
      </c>
      <c r="F9" s="16">
        <v>4.4</v>
      </c>
      <c r="G9" s="16">
        <v>300.0</v>
      </c>
      <c r="H9" s="31" t="s">
        <v>71</v>
      </c>
    </row>
    <row r="10" ht="15.75" customHeight="1">
      <c r="B10" s="16" t="s">
        <v>5</v>
      </c>
      <c r="C10" s="16" t="s">
        <v>72</v>
      </c>
      <c r="D10" s="16" t="s">
        <v>81</v>
      </c>
      <c r="E10" s="30">
        <v>40.0</v>
      </c>
      <c r="F10" s="16">
        <v>4.1</v>
      </c>
      <c r="G10" s="16">
        <v>300.0</v>
      </c>
      <c r="H10" s="31" t="s">
        <v>71</v>
      </c>
    </row>
    <row r="11" ht="15.75" customHeight="1">
      <c r="B11" s="16" t="s">
        <v>5</v>
      </c>
      <c r="C11" s="16" t="s">
        <v>72</v>
      </c>
      <c r="D11" s="16" t="s">
        <v>82</v>
      </c>
      <c r="E11" s="30">
        <v>40.0</v>
      </c>
      <c r="F11" s="16">
        <v>4.9</v>
      </c>
      <c r="G11" s="16">
        <v>300.0</v>
      </c>
      <c r="H11" s="31" t="s">
        <v>71</v>
      </c>
    </row>
    <row r="12" ht="15.75" customHeight="1">
      <c r="B12" s="16" t="s">
        <v>5</v>
      </c>
      <c r="C12" s="16" t="s">
        <v>72</v>
      </c>
      <c r="D12" s="16" t="s">
        <v>83</v>
      </c>
      <c r="E12" s="30">
        <v>40.0</v>
      </c>
      <c r="F12" s="16">
        <v>4.7</v>
      </c>
      <c r="G12" s="16">
        <v>300.0</v>
      </c>
      <c r="H12" s="31" t="s">
        <v>71</v>
      </c>
    </row>
    <row r="13" ht="15.75" customHeight="1">
      <c r="A13" s="16"/>
      <c r="B13" s="16" t="s">
        <v>5</v>
      </c>
      <c r="C13" s="16" t="s">
        <v>77</v>
      </c>
      <c r="D13" s="16" t="s">
        <v>84</v>
      </c>
      <c r="E13" s="30">
        <v>40.0</v>
      </c>
      <c r="F13" s="16">
        <v>0.0</v>
      </c>
      <c r="G13" s="16">
        <v>80.0</v>
      </c>
      <c r="H13" s="31" t="s">
        <v>71</v>
      </c>
    </row>
    <row r="14" ht="15.75" customHeight="1">
      <c r="A14" s="16"/>
      <c r="B14" s="16" t="s">
        <v>5</v>
      </c>
      <c r="C14" s="16" t="s">
        <v>72</v>
      </c>
      <c r="D14" s="16" t="s">
        <v>85</v>
      </c>
      <c r="E14" s="30">
        <v>45.0</v>
      </c>
      <c r="F14" s="16">
        <v>4.5</v>
      </c>
      <c r="G14" s="16">
        <v>600.0</v>
      </c>
      <c r="H14" s="31" t="s">
        <v>71</v>
      </c>
    </row>
    <row r="15" ht="15.75" customHeight="1">
      <c r="B15" s="16" t="s">
        <v>5</v>
      </c>
      <c r="C15" s="16" t="s">
        <v>77</v>
      </c>
      <c r="D15" s="16" t="s">
        <v>86</v>
      </c>
      <c r="E15" s="30">
        <v>45.0</v>
      </c>
      <c r="F15" s="16">
        <v>0.0</v>
      </c>
      <c r="G15" s="16">
        <v>190.0</v>
      </c>
      <c r="H15" s="31" t="s">
        <v>71</v>
      </c>
    </row>
    <row r="16" ht="15.75" customHeight="1">
      <c r="B16" s="16" t="s">
        <v>5</v>
      </c>
      <c r="C16" s="16" t="s">
        <v>72</v>
      </c>
      <c r="D16" s="16" t="s">
        <v>87</v>
      </c>
      <c r="E16" s="30">
        <v>50.0</v>
      </c>
      <c r="F16" s="16">
        <v>0.0</v>
      </c>
      <c r="G16" s="16">
        <v>200.0</v>
      </c>
      <c r="H16" s="31" t="s">
        <v>71</v>
      </c>
    </row>
    <row r="17" ht="15.75" customHeight="1">
      <c r="B17" s="16" t="s">
        <v>5</v>
      </c>
      <c r="C17" s="16" t="s">
        <v>72</v>
      </c>
      <c r="D17" s="16" t="s">
        <v>88</v>
      </c>
      <c r="E17" s="30">
        <v>50.0</v>
      </c>
      <c r="F17" s="16">
        <v>0.0</v>
      </c>
      <c r="G17" s="16">
        <v>200.0</v>
      </c>
      <c r="H17" s="31" t="s">
        <v>71</v>
      </c>
    </row>
    <row r="18" ht="15.75" customHeight="1">
      <c r="B18" s="16" t="s">
        <v>5</v>
      </c>
      <c r="C18" s="16" t="s">
        <v>72</v>
      </c>
      <c r="D18" s="16" t="s">
        <v>89</v>
      </c>
      <c r="E18" s="30">
        <v>50.0</v>
      </c>
      <c r="F18" s="16">
        <v>4.9</v>
      </c>
      <c r="G18" s="16">
        <v>170.0</v>
      </c>
      <c r="H18" s="31" t="s">
        <v>71</v>
      </c>
    </row>
    <row r="19" ht="15.75" customHeight="1">
      <c r="B19" s="16" t="s">
        <v>5</v>
      </c>
      <c r="C19" s="16" t="s">
        <v>72</v>
      </c>
      <c r="D19" s="16" t="s">
        <v>90</v>
      </c>
      <c r="E19" s="30">
        <v>50.0</v>
      </c>
      <c r="F19" s="16">
        <v>4.7</v>
      </c>
      <c r="G19" s="16">
        <v>500.0</v>
      </c>
      <c r="H19" s="31" t="s">
        <v>71</v>
      </c>
    </row>
    <row r="20" ht="15.75" customHeight="1">
      <c r="B20" s="16" t="s">
        <v>5</v>
      </c>
      <c r="C20" s="16" t="s">
        <v>72</v>
      </c>
      <c r="D20" s="16" t="s">
        <v>91</v>
      </c>
      <c r="E20" s="30">
        <v>50.0</v>
      </c>
      <c r="F20" s="16">
        <v>4.8</v>
      </c>
      <c r="G20" s="16">
        <v>250.0</v>
      </c>
      <c r="H20" s="31" t="s">
        <v>71</v>
      </c>
    </row>
    <row r="21" ht="15.75" customHeight="1">
      <c r="B21" s="16" t="s">
        <v>5</v>
      </c>
      <c r="C21" s="16" t="s">
        <v>77</v>
      </c>
      <c r="D21" s="16" t="s">
        <v>92</v>
      </c>
      <c r="E21" s="30">
        <v>50.0</v>
      </c>
      <c r="F21" s="16">
        <v>4.9</v>
      </c>
      <c r="G21" s="16">
        <v>300.0</v>
      </c>
      <c r="H21" s="31" t="s">
        <v>71</v>
      </c>
    </row>
    <row r="22" ht="15.75" customHeight="1">
      <c r="B22" s="16" t="s">
        <v>5</v>
      </c>
      <c r="C22" s="16" t="s">
        <v>72</v>
      </c>
      <c r="D22" s="16" t="s">
        <v>93</v>
      </c>
      <c r="E22" s="30">
        <v>55.0</v>
      </c>
      <c r="F22" s="16">
        <v>4.8</v>
      </c>
      <c r="G22" s="16">
        <v>350.0</v>
      </c>
      <c r="H22" s="31" t="s">
        <v>71</v>
      </c>
    </row>
    <row r="23" ht="15.75" customHeight="1">
      <c r="B23" s="16" t="s">
        <v>5</v>
      </c>
      <c r="C23" s="16" t="s">
        <v>72</v>
      </c>
      <c r="D23" s="16" t="s">
        <v>94</v>
      </c>
      <c r="E23" s="30">
        <v>56.0</v>
      </c>
      <c r="F23" s="16">
        <v>4.9</v>
      </c>
      <c r="G23" s="16">
        <v>450.0</v>
      </c>
      <c r="H23" s="31" t="s">
        <v>71</v>
      </c>
    </row>
    <row r="24" ht="15.75" customHeight="1">
      <c r="B24" s="16" t="s">
        <v>5</v>
      </c>
      <c r="C24" s="16" t="s">
        <v>72</v>
      </c>
      <c r="D24" s="16" t="s">
        <v>95</v>
      </c>
      <c r="E24" s="30">
        <v>58.0</v>
      </c>
      <c r="F24" s="16">
        <v>4.9</v>
      </c>
      <c r="G24" s="16">
        <v>180.0</v>
      </c>
      <c r="H24" s="31" t="s">
        <v>71</v>
      </c>
    </row>
    <row r="25" ht="15.75" customHeight="1">
      <c r="B25" s="16" t="s">
        <v>5</v>
      </c>
      <c r="C25" s="16" t="s">
        <v>72</v>
      </c>
      <c r="D25" s="16" t="s">
        <v>96</v>
      </c>
      <c r="E25" s="30">
        <v>60.0</v>
      </c>
      <c r="F25" s="16">
        <v>0.0</v>
      </c>
      <c r="G25" s="16">
        <v>250.0</v>
      </c>
      <c r="H25" s="31" t="s">
        <v>71</v>
      </c>
    </row>
    <row r="26" ht="15.75" customHeight="1">
      <c r="B26" s="16" t="s">
        <v>5</v>
      </c>
      <c r="C26" s="16" t="s">
        <v>72</v>
      </c>
      <c r="D26" s="16" t="s">
        <v>97</v>
      </c>
      <c r="E26" s="30">
        <v>60.0</v>
      </c>
      <c r="F26" s="16">
        <v>0.0</v>
      </c>
      <c r="G26" s="16">
        <v>150.0</v>
      </c>
      <c r="H26" s="31" t="s">
        <v>71</v>
      </c>
    </row>
    <row r="27" ht="15.75" customHeight="1">
      <c r="B27" s="16" t="s">
        <v>5</v>
      </c>
      <c r="C27" s="16" t="s">
        <v>77</v>
      </c>
      <c r="D27" s="16" t="s">
        <v>98</v>
      </c>
      <c r="E27" s="30">
        <v>60.0</v>
      </c>
      <c r="F27" s="16">
        <v>4.6</v>
      </c>
      <c r="G27" s="16">
        <v>200.0</v>
      </c>
      <c r="H27" s="31" t="s">
        <v>71</v>
      </c>
    </row>
    <row r="28" ht="15.75" customHeight="1">
      <c r="B28" s="16" t="s">
        <v>5</v>
      </c>
      <c r="C28" s="16" t="s">
        <v>72</v>
      </c>
      <c r="D28" s="16" t="s">
        <v>99</v>
      </c>
      <c r="E28" s="30">
        <v>65.0</v>
      </c>
      <c r="F28" s="16">
        <v>5.0</v>
      </c>
      <c r="G28" s="16">
        <v>270.0</v>
      </c>
      <c r="H28" s="31" t="s">
        <v>71</v>
      </c>
    </row>
    <row r="29" ht="15.75" customHeight="1">
      <c r="B29" s="16" t="s">
        <v>5</v>
      </c>
      <c r="C29" s="16" t="s">
        <v>72</v>
      </c>
      <c r="D29" s="16" t="s">
        <v>100</v>
      </c>
      <c r="E29" s="30">
        <v>65.0</v>
      </c>
      <c r="F29" s="16">
        <v>0.0</v>
      </c>
      <c r="G29" s="16">
        <v>300.0</v>
      </c>
      <c r="H29" s="31" t="s">
        <v>71</v>
      </c>
    </row>
    <row r="30" ht="15.75" customHeight="1">
      <c r="B30" s="16" t="s">
        <v>5</v>
      </c>
      <c r="C30" s="16" t="s">
        <v>72</v>
      </c>
      <c r="D30" s="16" t="s">
        <v>101</v>
      </c>
      <c r="E30" s="30">
        <v>70.0</v>
      </c>
      <c r="F30" s="16">
        <v>5.0</v>
      </c>
      <c r="G30" s="16">
        <v>350.0</v>
      </c>
      <c r="H30" s="31" t="s">
        <v>71</v>
      </c>
    </row>
    <row r="31" ht="15.75" customHeight="1">
      <c r="B31" s="16" t="s">
        <v>5</v>
      </c>
      <c r="C31" s="16" t="s">
        <v>72</v>
      </c>
      <c r="D31" s="16" t="s">
        <v>102</v>
      </c>
      <c r="E31" s="30">
        <v>70.0</v>
      </c>
      <c r="F31" s="16">
        <v>5.0</v>
      </c>
      <c r="G31" s="16">
        <v>400.0</v>
      </c>
      <c r="H31" s="31" t="s">
        <v>71</v>
      </c>
    </row>
    <row r="32" ht="15.75" customHeight="1">
      <c r="B32" s="16" t="s">
        <v>5</v>
      </c>
      <c r="C32" s="16" t="s">
        <v>77</v>
      </c>
      <c r="D32" s="16" t="s">
        <v>103</v>
      </c>
      <c r="E32" s="30">
        <v>70.0</v>
      </c>
      <c r="F32" s="16">
        <v>4.3</v>
      </c>
      <c r="G32" s="16">
        <v>400.0</v>
      </c>
      <c r="H32" s="31" t="s">
        <v>71</v>
      </c>
    </row>
    <row r="33" ht="15.75" customHeight="1">
      <c r="B33" s="16" t="s">
        <v>5</v>
      </c>
      <c r="C33" s="16" t="s">
        <v>72</v>
      </c>
      <c r="D33" s="16" t="s">
        <v>104</v>
      </c>
      <c r="E33" s="30">
        <v>75.0</v>
      </c>
      <c r="F33" s="16">
        <v>4.9</v>
      </c>
      <c r="G33" s="16">
        <v>300.0</v>
      </c>
      <c r="H33" s="31" t="s">
        <v>71</v>
      </c>
    </row>
    <row r="34" ht="15.75" customHeight="1">
      <c r="B34" s="16" t="s">
        <v>5</v>
      </c>
      <c r="C34" s="16" t="s">
        <v>72</v>
      </c>
      <c r="D34" s="16" t="s">
        <v>105</v>
      </c>
      <c r="E34" s="30">
        <v>75.0</v>
      </c>
      <c r="F34" s="16">
        <v>4.8</v>
      </c>
      <c r="G34" s="16">
        <v>480.0</v>
      </c>
      <c r="H34" s="31" t="s">
        <v>71</v>
      </c>
    </row>
    <row r="35" ht="15.75" customHeight="1">
      <c r="B35" s="16" t="s">
        <v>5</v>
      </c>
      <c r="C35" s="16" t="s">
        <v>72</v>
      </c>
      <c r="D35" s="16" t="s">
        <v>106</v>
      </c>
      <c r="E35" s="30">
        <v>75.0</v>
      </c>
      <c r="F35" s="16">
        <v>0.0</v>
      </c>
      <c r="G35" s="16">
        <v>35.0</v>
      </c>
      <c r="H35" s="31" t="s">
        <v>71</v>
      </c>
    </row>
    <row r="36" ht="15.75" customHeight="1">
      <c r="B36" s="16" t="s">
        <v>5</v>
      </c>
      <c r="C36" s="16" t="s">
        <v>72</v>
      </c>
      <c r="D36" s="16" t="s">
        <v>107</v>
      </c>
      <c r="E36" s="30">
        <v>75.0</v>
      </c>
      <c r="F36" s="16">
        <v>0.0</v>
      </c>
      <c r="G36" s="16">
        <v>230.0</v>
      </c>
      <c r="H36" s="31" t="s">
        <v>71</v>
      </c>
    </row>
    <row r="37" ht="15.75" customHeight="1">
      <c r="B37" s="16" t="s">
        <v>5</v>
      </c>
      <c r="C37" s="16" t="s">
        <v>72</v>
      </c>
      <c r="D37" s="16" t="s">
        <v>108</v>
      </c>
      <c r="E37" s="30">
        <v>80.0</v>
      </c>
      <c r="F37" s="16">
        <v>5.0</v>
      </c>
      <c r="G37" s="16">
        <v>500.0</v>
      </c>
      <c r="H37" s="31" t="s">
        <v>71</v>
      </c>
    </row>
    <row r="38" ht="15.75" customHeight="1">
      <c r="B38" s="16" t="s">
        <v>5</v>
      </c>
      <c r="C38" s="16" t="s">
        <v>72</v>
      </c>
      <c r="D38" s="16" t="s">
        <v>109</v>
      </c>
      <c r="E38" s="30">
        <v>80.0</v>
      </c>
      <c r="F38" s="16">
        <v>5.0</v>
      </c>
      <c r="G38" s="16">
        <v>300.0</v>
      </c>
      <c r="H38" s="31" t="s">
        <v>71</v>
      </c>
    </row>
    <row r="39" ht="15.75" customHeight="1">
      <c r="B39" s="16" t="s">
        <v>5</v>
      </c>
      <c r="C39" s="16" t="s">
        <v>72</v>
      </c>
      <c r="D39" s="16" t="s">
        <v>110</v>
      </c>
      <c r="E39" s="30">
        <v>80.0</v>
      </c>
      <c r="F39" s="16">
        <v>4.8</v>
      </c>
      <c r="G39" s="16">
        <v>400.0</v>
      </c>
      <c r="H39" s="31" t="s">
        <v>71</v>
      </c>
    </row>
    <row r="40" ht="15.75" customHeight="1">
      <c r="B40" s="16" t="s">
        <v>5</v>
      </c>
      <c r="C40" s="16" t="s">
        <v>72</v>
      </c>
      <c r="D40" s="16" t="s">
        <v>111</v>
      </c>
      <c r="E40" s="30">
        <v>80.0</v>
      </c>
      <c r="F40" s="16">
        <v>5.0</v>
      </c>
      <c r="G40" s="16">
        <v>300.0</v>
      </c>
      <c r="H40" s="31" t="s">
        <v>71</v>
      </c>
    </row>
    <row r="41" ht="15.75" customHeight="1">
      <c r="B41" s="16" t="s">
        <v>5</v>
      </c>
      <c r="C41" s="16" t="s">
        <v>72</v>
      </c>
      <c r="D41" s="16" t="s">
        <v>112</v>
      </c>
      <c r="E41" s="30">
        <v>80.0</v>
      </c>
      <c r="F41" s="16">
        <v>5.0</v>
      </c>
      <c r="G41" s="16">
        <v>200.0</v>
      </c>
      <c r="H41" s="31" t="s">
        <v>71</v>
      </c>
    </row>
    <row r="42" ht="15.75" customHeight="1">
      <c r="B42" s="16" t="s">
        <v>5</v>
      </c>
      <c r="C42" s="16" t="s">
        <v>72</v>
      </c>
      <c r="D42" s="16" t="s">
        <v>113</v>
      </c>
      <c r="E42" s="30">
        <v>80.0</v>
      </c>
      <c r="F42" s="16">
        <v>5.0</v>
      </c>
      <c r="G42" s="16">
        <v>250.0</v>
      </c>
      <c r="H42" s="31" t="s">
        <v>71</v>
      </c>
    </row>
    <row r="43" ht="15.75" customHeight="1">
      <c r="B43" s="16" t="s">
        <v>5</v>
      </c>
      <c r="C43" s="16" t="s">
        <v>77</v>
      </c>
      <c r="D43" s="16" t="s">
        <v>114</v>
      </c>
      <c r="E43" s="30">
        <v>80.0</v>
      </c>
      <c r="F43" s="16">
        <v>5.0</v>
      </c>
      <c r="G43" s="16">
        <v>300.0</v>
      </c>
      <c r="H43" s="31" t="s">
        <v>71</v>
      </c>
    </row>
    <row r="44" ht="15.75" customHeight="1">
      <c r="B44" s="16" t="s">
        <v>5</v>
      </c>
      <c r="C44" s="16" t="s">
        <v>77</v>
      </c>
      <c r="D44" s="16" t="s">
        <v>115</v>
      </c>
      <c r="E44" s="30">
        <v>80.0</v>
      </c>
      <c r="F44" s="16">
        <v>5.0</v>
      </c>
      <c r="G44" s="16">
        <v>86.0</v>
      </c>
      <c r="H44" s="31" t="s">
        <v>71</v>
      </c>
    </row>
    <row r="45" ht="15.75" customHeight="1">
      <c r="B45" s="16" t="s">
        <v>5</v>
      </c>
      <c r="C45" s="16" t="s">
        <v>72</v>
      </c>
      <c r="D45" s="16" t="s">
        <v>116</v>
      </c>
      <c r="E45" s="30">
        <v>83.0</v>
      </c>
      <c r="F45" s="16">
        <v>5.0</v>
      </c>
      <c r="G45" s="16">
        <v>200.0</v>
      </c>
      <c r="H45" s="31" t="s">
        <v>71</v>
      </c>
    </row>
    <row r="46" ht="15.75" customHeight="1">
      <c r="B46" s="16" t="s">
        <v>5</v>
      </c>
      <c r="C46" s="16" t="s">
        <v>72</v>
      </c>
      <c r="D46" s="16" t="s">
        <v>117</v>
      </c>
      <c r="E46" s="30">
        <v>87.5</v>
      </c>
      <c r="F46" s="16">
        <v>5.0</v>
      </c>
      <c r="G46" s="16">
        <v>200.0</v>
      </c>
      <c r="H46" s="31" t="s">
        <v>71</v>
      </c>
    </row>
    <row r="47" ht="15.75" customHeight="1">
      <c r="B47" s="16" t="s">
        <v>5</v>
      </c>
      <c r="C47" s="16" t="s">
        <v>72</v>
      </c>
      <c r="D47" s="16" t="s">
        <v>118</v>
      </c>
      <c r="E47" s="30">
        <v>90.0</v>
      </c>
      <c r="F47" s="16">
        <v>5.0</v>
      </c>
      <c r="G47" s="16">
        <v>180.0</v>
      </c>
      <c r="H47" s="31" t="s">
        <v>71</v>
      </c>
    </row>
    <row r="48" ht="15.75" customHeight="1">
      <c r="B48" s="16" t="s">
        <v>5</v>
      </c>
      <c r="C48" s="16" t="s">
        <v>72</v>
      </c>
      <c r="D48" s="16" t="s">
        <v>119</v>
      </c>
      <c r="E48" s="30">
        <v>90.0</v>
      </c>
      <c r="F48" s="16">
        <v>5.0</v>
      </c>
      <c r="G48" s="16">
        <v>600.0</v>
      </c>
      <c r="H48" s="31" t="s">
        <v>71</v>
      </c>
    </row>
    <row r="49" ht="15.75" customHeight="1">
      <c r="B49" s="16" t="s">
        <v>5</v>
      </c>
      <c r="C49" s="16" t="s">
        <v>77</v>
      </c>
      <c r="D49" s="16" t="s">
        <v>120</v>
      </c>
      <c r="E49" s="30">
        <v>90.0</v>
      </c>
      <c r="F49" s="16">
        <v>4.9</v>
      </c>
      <c r="G49" s="16">
        <v>200.0</v>
      </c>
      <c r="H49" s="31" t="s">
        <v>71</v>
      </c>
    </row>
    <row r="50" ht="15.75" customHeight="1">
      <c r="B50" s="16" t="s">
        <v>5</v>
      </c>
      <c r="C50" s="16" t="s">
        <v>77</v>
      </c>
      <c r="D50" s="16" t="s">
        <v>121</v>
      </c>
      <c r="E50" s="30">
        <v>95.0</v>
      </c>
      <c r="F50" s="16">
        <v>0.0</v>
      </c>
      <c r="G50" s="16">
        <v>150.0</v>
      </c>
      <c r="H50" s="31" t="s">
        <v>122</v>
      </c>
    </row>
    <row r="51" ht="15.75" customHeight="1">
      <c r="B51" s="16" t="s">
        <v>5</v>
      </c>
      <c r="C51" s="16" t="s">
        <v>72</v>
      </c>
      <c r="D51" s="16" t="s">
        <v>123</v>
      </c>
      <c r="E51" s="30">
        <v>96.0</v>
      </c>
      <c r="F51" s="16">
        <v>5.0</v>
      </c>
      <c r="G51" s="16">
        <v>200.0</v>
      </c>
      <c r="H51" s="31" t="s">
        <v>71</v>
      </c>
    </row>
    <row r="52" ht="15.75" customHeight="1">
      <c r="B52" s="16" t="s">
        <v>5</v>
      </c>
      <c r="C52" s="16" t="s">
        <v>72</v>
      </c>
      <c r="D52" s="16" t="s">
        <v>124</v>
      </c>
      <c r="E52" s="30">
        <v>100.0</v>
      </c>
      <c r="F52" s="16">
        <v>4.8</v>
      </c>
      <c r="G52" s="16">
        <v>350.0</v>
      </c>
      <c r="H52" s="31" t="s">
        <v>71</v>
      </c>
    </row>
    <row r="53" ht="15.75" customHeight="1">
      <c r="B53" s="16" t="s">
        <v>5</v>
      </c>
      <c r="C53" s="16" t="s">
        <v>72</v>
      </c>
      <c r="D53" s="16" t="s">
        <v>125</v>
      </c>
      <c r="E53" s="30">
        <v>100.0</v>
      </c>
      <c r="F53" s="16">
        <v>5.0</v>
      </c>
      <c r="G53" s="16">
        <v>300.0</v>
      </c>
      <c r="H53" s="31" t="s">
        <v>71</v>
      </c>
    </row>
    <row r="54" ht="15.75" customHeight="1">
      <c r="B54" s="16" t="s">
        <v>5</v>
      </c>
      <c r="C54" s="16" t="s">
        <v>72</v>
      </c>
      <c r="D54" s="16" t="s">
        <v>126</v>
      </c>
      <c r="E54" s="30">
        <v>100.0</v>
      </c>
      <c r="F54" s="16">
        <v>4.9</v>
      </c>
      <c r="G54" s="16">
        <v>400.0</v>
      </c>
      <c r="H54" s="31" t="s">
        <v>71</v>
      </c>
    </row>
    <row r="55" ht="15.75" customHeight="1">
      <c r="B55" s="16" t="s">
        <v>5</v>
      </c>
      <c r="C55" s="16" t="s">
        <v>72</v>
      </c>
      <c r="D55" s="16" t="s">
        <v>127</v>
      </c>
      <c r="E55" s="30">
        <v>100.0</v>
      </c>
      <c r="F55" s="16">
        <v>4.9</v>
      </c>
      <c r="G55" s="16">
        <v>500.0</v>
      </c>
      <c r="H55" s="31" t="s">
        <v>71</v>
      </c>
    </row>
    <row r="56" ht="15.75" customHeight="1">
      <c r="B56" s="16" t="s">
        <v>5</v>
      </c>
      <c r="C56" s="16" t="s">
        <v>72</v>
      </c>
      <c r="D56" s="16" t="s">
        <v>128</v>
      </c>
      <c r="E56" s="30">
        <v>100.0</v>
      </c>
      <c r="F56" s="16">
        <v>4.9</v>
      </c>
      <c r="G56" s="16">
        <v>350.0</v>
      </c>
      <c r="H56" s="31" t="s">
        <v>71</v>
      </c>
    </row>
    <row r="57" ht="15.75" customHeight="1">
      <c r="B57" s="16" t="s">
        <v>5</v>
      </c>
      <c r="C57" s="16" t="s">
        <v>72</v>
      </c>
      <c r="D57" s="16" t="s">
        <v>129</v>
      </c>
      <c r="E57" s="30">
        <v>100.0</v>
      </c>
      <c r="F57" s="16">
        <v>5.0</v>
      </c>
      <c r="G57" s="16">
        <v>250.0</v>
      </c>
      <c r="H57" s="31" t="s">
        <v>71</v>
      </c>
    </row>
    <row r="58" ht="15.75" customHeight="1">
      <c r="B58" s="16" t="s">
        <v>5</v>
      </c>
      <c r="C58" s="16" t="s">
        <v>72</v>
      </c>
      <c r="D58" s="16" t="s">
        <v>130</v>
      </c>
      <c r="E58" s="30">
        <v>100.0</v>
      </c>
      <c r="F58" s="16">
        <v>4.5</v>
      </c>
      <c r="G58" s="16">
        <v>300.0</v>
      </c>
      <c r="H58" s="31" t="s">
        <v>71</v>
      </c>
    </row>
    <row r="59" ht="15.75" customHeight="1">
      <c r="B59" s="16" t="s">
        <v>5</v>
      </c>
      <c r="C59" s="16" t="s">
        <v>77</v>
      </c>
      <c r="D59" s="16" t="s">
        <v>131</v>
      </c>
      <c r="E59" s="30">
        <v>100.0</v>
      </c>
      <c r="F59" s="16">
        <v>4.5</v>
      </c>
      <c r="G59" s="16">
        <v>150.0</v>
      </c>
      <c r="H59" s="31" t="s">
        <v>71</v>
      </c>
    </row>
    <row r="60" ht="15.75" customHeight="1">
      <c r="B60" s="16" t="s">
        <v>5</v>
      </c>
      <c r="C60" s="16" t="s">
        <v>72</v>
      </c>
      <c r="D60" s="16" t="s">
        <v>132</v>
      </c>
      <c r="E60" s="30">
        <v>105.0</v>
      </c>
      <c r="F60" s="16">
        <v>4.9</v>
      </c>
      <c r="G60" s="16">
        <v>220.0</v>
      </c>
      <c r="H60" s="31" t="s">
        <v>71</v>
      </c>
    </row>
    <row r="61" ht="15.75" customHeight="1">
      <c r="B61" s="16" t="s">
        <v>5</v>
      </c>
      <c r="C61" s="16" t="s">
        <v>72</v>
      </c>
      <c r="D61" s="16" t="s">
        <v>133</v>
      </c>
      <c r="E61" s="30">
        <v>120.0</v>
      </c>
      <c r="F61" s="16">
        <v>4.9</v>
      </c>
      <c r="G61" s="16">
        <v>300.0</v>
      </c>
      <c r="H61" s="31" t="s">
        <v>71</v>
      </c>
    </row>
    <row r="62" ht="15.75" customHeight="1">
      <c r="B62" s="16" t="s">
        <v>5</v>
      </c>
      <c r="C62" s="16" t="s">
        <v>72</v>
      </c>
      <c r="D62" s="16" t="s">
        <v>134</v>
      </c>
      <c r="E62" s="30">
        <v>120.0</v>
      </c>
      <c r="F62" s="16">
        <v>5.0</v>
      </c>
      <c r="G62" s="16">
        <v>180.0</v>
      </c>
      <c r="H62" s="31" t="s">
        <v>71</v>
      </c>
    </row>
    <row r="63" ht="15.75" customHeight="1">
      <c r="B63" s="16" t="s">
        <v>5</v>
      </c>
      <c r="C63" s="16" t="s">
        <v>72</v>
      </c>
      <c r="D63" s="16" t="s">
        <v>135</v>
      </c>
      <c r="E63" s="30">
        <v>130.0</v>
      </c>
      <c r="F63" s="16">
        <v>4.9</v>
      </c>
      <c r="G63" s="16">
        <v>200.0</v>
      </c>
      <c r="H63" s="31" t="s">
        <v>71</v>
      </c>
    </row>
    <row r="64" ht="15.75" customHeight="1">
      <c r="B64" s="16" t="s">
        <v>5</v>
      </c>
      <c r="C64" s="16" t="s">
        <v>72</v>
      </c>
      <c r="D64" s="16" t="s">
        <v>136</v>
      </c>
      <c r="E64" s="30">
        <v>150.0</v>
      </c>
      <c r="F64" s="16">
        <v>4.9</v>
      </c>
      <c r="G64" s="16">
        <v>450.0</v>
      </c>
      <c r="H64" s="31" t="s">
        <v>71</v>
      </c>
    </row>
    <row r="65" ht="15.75" customHeight="1">
      <c r="B65" s="16" t="s">
        <v>5</v>
      </c>
      <c r="C65" s="16" t="s">
        <v>77</v>
      </c>
      <c r="D65" s="16" t="s">
        <v>137</v>
      </c>
      <c r="E65" s="30">
        <v>350.0</v>
      </c>
      <c r="F65" s="16">
        <v>0.0</v>
      </c>
      <c r="G65" s="16">
        <v>120.0</v>
      </c>
      <c r="H65" s="31" t="s">
        <v>71</v>
      </c>
    </row>
    <row r="66" ht="15.75" customHeight="1">
      <c r="B66" s="16" t="s">
        <v>27</v>
      </c>
      <c r="C66" s="16" t="s">
        <v>72</v>
      </c>
      <c r="D66" s="16" t="s">
        <v>138</v>
      </c>
      <c r="E66" s="30">
        <v>20.0</v>
      </c>
      <c r="F66" s="16">
        <v>0.0</v>
      </c>
      <c r="G66" s="16">
        <v>300.0</v>
      </c>
      <c r="H66" s="31" t="s">
        <v>71</v>
      </c>
    </row>
    <row r="67" ht="15.75" customHeight="1">
      <c r="B67" s="16" t="s">
        <v>27</v>
      </c>
      <c r="C67" s="16" t="s">
        <v>72</v>
      </c>
      <c r="D67" s="16" t="s">
        <v>139</v>
      </c>
      <c r="E67" s="30">
        <v>30.0</v>
      </c>
      <c r="F67" s="16">
        <v>0.0</v>
      </c>
      <c r="G67" s="16">
        <v>200.0</v>
      </c>
      <c r="H67" s="31" t="s">
        <v>71</v>
      </c>
    </row>
    <row r="68" ht="15.75" customHeight="1">
      <c r="B68" s="16" t="s">
        <v>27</v>
      </c>
      <c r="C68" s="16" t="s">
        <v>72</v>
      </c>
      <c r="D68" s="16" t="s">
        <v>140</v>
      </c>
      <c r="E68" s="30">
        <v>40.0</v>
      </c>
      <c r="F68" s="16">
        <v>5.0</v>
      </c>
      <c r="G68" s="16">
        <v>120.0</v>
      </c>
      <c r="H68" s="31" t="s">
        <v>71</v>
      </c>
    </row>
    <row r="69" ht="15.75" customHeight="1">
      <c r="B69" s="16" t="s">
        <v>32</v>
      </c>
      <c r="C69" s="16" t="s">
        <v>72</v>
      </c>
      <c r="D69" s="16" t="s">
        <v>141</v>
      </c>
      <c r="E69" s="30">
        <v>25.0</v>
      </c>
      <c r="F69" s="16">
        <v>5.0</v>
      </c>
      <c r="G69" s="16">
        <v>300.0</v>
      </c>
      <c r="H69" s="31" t="s">
        <v>71</v>
      </c>
    </row>
    <row r="70" ht="15.75" customHeight="1">
      <c r="B70" s="16" t="s">
        <v>32</v>
      </c>
      <c r="C70" s="16" t="s">
        <v>142</v>
      </c>
      <c r="D70" s="16" t="s">
        <v>143</v>
      </c>
      <c r="E70" s="30">
        <v>26.0</v>
      </c>
      <c r="F70" s="16">
        <v>0.0</v>
      </c>
      <c r="G70" s="16">
        <v>70.0</v>
      </c>
      <c r="H70" s="31" t="s">
        <v>71</v>
      </c>
    </row>
    <row r="71" ht="15.75" customHeight="1">
      <c r="B71" s="16" t="s">
        <v>32</v>
      </c>
      <c r="C71" s="16" t="s">
        <v>72</v>
      </c>
      <c r="D71" s="16" t="s">
        <v>144</v>
      </c>
      <c r="E71" s="30">
        <v>40.0</v>
      </c>
      <c r="F71" s="16">
        <v>5.0</v>
      </c>
      <c r="G71" s="16">
        <v>220.0</v>
      </c>
      <c r="H71" s="31" t="s">
        <v>71</v>
      </c>
    </row>
    <row r="72" ht="15.75" customHeight="1">
      <c r="B72" s="16" t="s">
        <v>32</v>
      </c>
      <c r="C72" s="16" t="s">
        <v>77</v>
      </c>
      <c r="D72" s="16" t="s">
        <v>145</v>
      </c>
      <c r="E72" s="30">
        <v>40.0</v>
      </c>
      <c r="F72" s="16">
        <v>0.0</v>
      </c>
      <c r="G72" s="16">
        <v>70.0</v>
      </c>
      <c r="H72" s="31" t="s">
        <v>71</v>
      </c>
    </row>
    <row r="73" ht="15.75" customHeight="1">
      <c r="B73" s="16" t="s">
        <v>32</v>
      </c>
      <c r="C73" s="16" t="s">
        <v>77</v>
      </c>
      <c r="D73" s="16" t="s">
        <v>146</v>
      </c>
      <c r="E73" s="30">
        <v>44.0</v>
      </c>
      <c r="F73" s="16">
        <v>4.8</v>
      </c>
      <c r="G73" s="16">
        <v>100.0</v>
      </c>
      <c r="H73" s="31" t="s">
        <v>71</v>
      </c>
    </row>
    <row r="74" ht="15.75" customHeight="1">
      <c r="B74" s="16" t="s">
        <v>32</v>
      </c>
      <c r="C74" s="16" t="s">
        <v>72</v>
      </c>
      <c r="D74" s="16" t="s">
        <v>147</v>
      </c>
      <c r="E74" s="30">
        <v>45.0</v>
      </c>
      <c r="F74" s="16">
        <v>4.9</v>
      </c>
      <c r="G74" s="16">
        <v>60.0</v>
      </c>
      <c r="H74" s="31" t="s">
        <v>71</v>
      </c>
    </row>
    <row r="75" ht="15.75" customHeight="1">
      <c r="B75" s="16" t="s">
        <v>32</v>
      </c>
      <c r="C75" s="16" t="s">
        <v>72</v>
      </c>
      <c r="D75" s="16" t="s">
        <v>148</v>
      </c>
      <c r="E75" s="30">
        <v>45.0</v>
      </c>
      <c r="F75" s="16">
        <v>0.0</v>
      </c>
      <c r="G75" s="16">
        <v>100.0</v>
      </c>
      <c r="H75" s="31" t="s">
        <v>71</v>
      </c>
    </row>
    <row r="76" ht="15.75" customHeight="1">
      <c r="B76" s="16" t="s">
        <v>32</v>
      </c>
      <c r="C76" s="16" t="s">
        <v>72</v>
      </c>
      <c r="D76" s="16" t="s">
        <v>149</v>
      </c>
      <c r="E76" s="30">
        <v>45.0</v>
      </c>
      <c r="F76" s="16">
        <v>0.0</v>
      </c>
      <c r="G76" s="16">
        <v>350.0</v>
      </c>
      <c r="H76" s="31" t="s">
        <v>71</v>
      </c>
    </row>
    <row r="77" ht="15.75" customHeight="1">
      <c r="B77" s="16" t="s">
        <v>32</v>
      </c>
      <c r="C77" s="16" t="s">
        <v>142</v>
      </c>
      <c r="D77" s="16" t="s">
        <v>150</v>
      </c>
      <c r="E77" s="30">
        <v>45.0</v>
      </c>
      <c r="F77" s="16">
        <v>0.0</v>
      </c>
      <c r="G77" s="16">
        <v>60.0</v>
      </c>
      <c r="H77" s="31" t="s">
        <v>71</v>
      </c>
    </row>
    <row r="78" ht="15.75" customHeight="1">
      <c r="B78" s="16" t="s">
        <v>32</v>
      </c>
      <c r="C78" s="16" t="s">
        <v>72</v>
      </c>
      <c r="D78" s="16" t="s">
        <v>151</v>
      </c>
      <c r="E78" s="30">
        <v>50.0</v>
      </c>
      <c r="F78" s="16">
        <v>5.0</v>
      </c>
      <c r="G78" s="16">
        <v>250.0</v>
      </c>
      <c r="H78" s="31" t="s">
        <v>71</v>
      </c>
    </row>
    <row r="79" ht="15.75" customHeight="1">
      <c r="B79" s="16" t="s">
        <v>32</v>
      </c>
      <c r="C79" s="16" t="s">
        <v>72</v>
      </c>
      <c r="D79" s="16" t="s">
        <v>152</v>
      </c>
      <c r="E79" s="30">
        <v>50.0</v>
      </c>
      <c r="F79" s="16">
        <v>5.0</v>
      </c>
      <c r="G79" s="16">
        <v>300.0</v>
      </c>
      <c r="H79" s="31" t="s">
        <v>71</v>
      </c>
    </row>
    <row r="80" ht="15.75" customHeight="1">
      <c r="B80" s="16" t="s">
        <v>32</v>
      </c>
      <c r="C80" s="16" t="s">
        <v>72</v>
      </c>
      <c r="D80" s="16" t="s">
        <v>153</v>
      </c>
      <c r="E80" s="30">
        <v>50.0</v>
      </c>
      <c r="F80" s="16">
        <v>4.9</v>
      </c>
      <c r="G80" s="16">
        <v>120.0</v>
      </c>
      <c r="H80" s="31" t="s">
        <v>71</v>
      </c>
    </row>
    <row r="81" ht="15.75" customHeight="1">
      <c r="B81" s="16" t="s">
        <v>32</v>
      </c>
      <c r="C81" s="16" t="s">
        <v>77</v>
      </c>
      <c r="D81" s="16" t="s">
        <v>154</v>
      </c>
      <c r="E81" s="30">
        <v>50.0</v>
      </c>
      <c r="F81" s="16">
        <v>4.9</v>
      </c>
      <c r="G81" s="16">
        <v>300.0</v>
      </c>
      <c r="H81" s="31" t="s">
        <v>71</v>
      </c>
    </row>
    <row r="82" ht="15.75" customHeight="1">
      <c r="B82" s="16" t="s">
        <v>32</v>
      </c>
      <c r="C82" s="16" t="s">
        <v>77</v>
      </c>
      <c r="D82" s="16" t="s">
        <v>155</v>
      </c>
      <c r="E82" s="30">
        <v>50.0</v>
      </c>
      <c r="F82" s="16">
        <v>0.0</v>
      </c>
      <c r="G82" s="16">
        <v>120.0</v>
      </c>
      <c r="H82" s="31" t="s">
        <v>71</v>
      </c>
    </row>
    <row r="83" ht="15.75" customHeight="1">
      <c r="B83" s="16" t="s">
        <v>32</v>
      </c>
      <c r="C83" s="16" t="s">
        <v>72</v>
      </c>
      <c r="D83" s="16" t="s">
        <v>156</v>
      </c>
      <c r="E83" s="30">
        <v>55.0</v>
      </c>
      <c r="F83" s="16">
        <v>3.5</v>
      </c>
      <c r="G83" s="16">
        <v>400.0</v>
      </c>
      <c r="H83" s="31" t="s">
        <v>71</v>
      </c>
    </row>
    <row r="84" ht="15.75" customHeight="1">
      <c r="B84" s="16" t="s">
        <v>32</v>
      </c>
      <c r="C84" s="16" t="s">
        <v>72</v>
      </c>
      <c r="D84" s="16" t="s">
        <v>157</v>
      </c>
      <c r="E84" s="30">
        <v>55.0</v>
      </c>
      <c r="F84" s="16">
        <v>5.0</v>
      </c>
      <c r="G84" s="16">
        <v>250.0</v>
      </c>
      <c r="H84" s="31" t="s">
        <v>71</v>
      </c>
    </row>
    <row r="85" ht="15.75" customHeight="1">
      <c r="B85" s="16" t="s">
        <v>32</v>
      </c>
      <c r="C85" s="16" t="s">
        <v>72</v>
      </c>
      <c r="D85" s="16" t="s">
        <v>158</v>
      </c>
      <c r="E85" s="30">
        <v>55.0</v>
      </c>
      <c r="F85" s="16">
        <v>4.3</v>
      </c>
      <c r="G85" s="16">
        <v>200.0</v>
      </c>
      <c r="H85" s="31" t="s">
        <v>71</v>
      </c>
    </row>
    <row r="86" ht="15.75" customHeight="1">
      <c r="B86" s="16" t="s">
        <v>32</v>
      </c>
      <c r="C86" s="16" t="s">
        <v>72</v>
      </c>
      <c r="D86" s="16" t="s">
        <v>159</v>
      </c>
      <c r="E86" s="30">
        <v>55.0</v>
      </c>
      <c r="F86" s="16">
        <v>4.9</v>
      </c>
      <c r="G86" s="16">
        <v>250.0</v>
      </c>
      <c r="H86" s="31" t="s">
        <v>71</v>
      </c>
    </row>
    <row r="87" ht="15.75" customHeight="1">
      <c r="B87" s="16" t="s">
        <v>32</v>
      </c>
      <c r="C87" s="16" t="s">
        <v>72</v>
      </c>
      <c r="D87" s="16" t="s">
        <v>160</v>
      </c>
      <c r="E87" s="30">
        <v>55.0</v>
      </c>
      <c r="F87" s="16">
        <v>5.0</v>
      </c>
      <c r="G87" s="16">
        <v>120.0</v>
      </c>
      <c r="H87" s="31" t="s">
        <v>71</v>
      </c>
    </row>
    <row r="88" ht="15.75" customHeight="1">
      <c r="B88" s="16" t="s">
        <v>32</v>
      </c>
      <c r="C88" s="16" t="s">
        <v>72</v>
      </c>
      <c r="D88" s="16" t="s">
        <v>161</v>
      </c>
      <c r="E88" s="30">
        <v>55.0</v>
      </c>
      <c r="F88" s="16">
        <v>5.0</v>
      </c>
      <c r="G88" s="16">
        <v>300.0</v>
      </c>
      <c r="H88" s="31" t="s">
        <v>71</v>
      </c>
    </row>
    <row r="89" ht="15.75" customHeight="1">
      <c r="B89" s="16" t="s">
        <v>32</v>
      </c>
      <c r="C89" s="16" t="s">
        <v>72</v>
      </c>
      <c r="D89" s="16" t="s">
        <v>162</v>
      </c>
      <c r="E89" s="30">
        <v>55.0</v>
      </c>
      <c r="F89" s="16">
        <v>5.0</v>
      </c>
      <c r="G89" s="16">
        <v>200.0</v>
      </c>
      <c r="H89" s="31" t="s">
        <v>71</v>
      </c>
    </row>
    <row r="90" ht="15.75" customHeight="1">
      <c r="B90" s="16" t="s">
        <v>32</v>
      </c>
      <c r="C90" s="16" t="s">
        <v>142</v>
      </c>
      <c r="D90" s="16" t="s">
        <v>163</v>
      </c>
      <c r="E90" s="30">
        <v>55.0</v>
      </c>
      <c r="F90" s="16">
        <v>0.0</v>
      </c>
      <c r="G90" s="16">
        <v>140.0</v>
      </c>
      <c r="H90" s="31" t="s">
        <v>71</v>
      </c>
    </row>
    <row r="91" ht="15.75" customHeight="1">
      <c r="B91" s="16" t="s">
        <v>32</v>
      </c>
      <c r="C91" s="16" t="s">
        <v>72</v>
      </c>
      <c r="D91" s="16" t="s">
        <v>164</v>
      </c>
      <c r="E91" s="30">
        <v>60.0</v>
      </c>
      <c r="F91" s="16">
        <v>5.0</v>
      </c>
      <c r="G91" s="16">
        <v>250.0</v>
      </c>
      <c r="H91" s="31" t="s">
        <v>71</v>
      </c>
    </row>
    <row r="92" ht="15.75" customHeight="1">
      <c r="B92" s="16" t="s">
        <v>32</v>
      </c>
      <c r="C92" s="16" t="s">
        <v>72</v>
      </c>
      <c r="D92" s="16" t="s">
        <v>135</v>
      </c>
      <c r="E92" s="30">
        <v>60.0</v>
      </c>
      <c r="F92" s="16">
        <v>5.0</v>
      </c>
      <c r="G92" s="16">
        <v>450.0</v>
      </c>
      <c r="H92" s="31" t="s">
        <v>71</v>
      </c>
    </row>
    <row r="93" ht="15.75" customHeight="1">
      <c r="B93" s="16" t="s">
        <v>32</v>
      </c>
      <c r="C93" s="16" t="s">
        <v>72</v>
      </c>
      <c r="D93" s="16" t="s">
        <v>165</v>
      </c>
      <c r="E93" s="30">
        <v>60.0</v>
      </c>
      <c r="F93" s="16">
        <v>0.0</v>
      </c>
      <c r="G93" s="16">
        <v>180.0</v>
      </c>
      <c r="H93" s="31" t="s">
        <v>71</v>
      </c>
    </row>
    <row r="94" ht="15.75" customHeight="1">
      <c r="B94" s="16" t="s">
        <v>32</v>
      </c>
      <c r="C94" s="16" t="s">
        <v>72</v>
      </c>
      <c r="D94" s="16" t="s">
        <v>166</v>
      </c>
      <c r="E94" s="30">
        <v>60.0</v>
      </c>
      <c r="F94" s="16">
        <v>5.0</v>
      </c>
      <c r="G94" s="16">
        <v>160.0</v>
      </c>
      <c r="H94" s="31" t="s">
        <v>71</v>
      </c>
    </row>
    <row r="95" ht="15.75" customHeight="1">
      <c r="B95" s="16" t="s">
        <v>32</v>
      </c>
      <c r="C95" s="16" t="s">
        <v>72</v>
      </c>
      <c r="D95" s="16" t="s">
        <v>167</v>
      </c>
      <c r="E95" s="30">
        <v>60.0</v>
      </c>
      <c r="F95" s="16">
        <v>0.0</v>
      </c>
      <c r="G95" s="16">
        <v>300.0</v>
      </c>
      <c r="H95" s="31" t="s">
        <v>71</v>
      </c>
    </row>
    <row r="96" ht="15.75" customHeight="1">
      <c r="B96" s="16" t="s">
        <v>32</v>
      </c>
      <c r="C96" s="16" t="s">
        <v>72</v>
      </c>
      <c r="D96" s="16" t="s">
        <v>168</v>
      </c>
      <c r="E96" s="30">
        <v>60.0</v>
      </c>
      <c r="F96" s="16">
        <v>0.0</v>
      </c>
      <c r="G96" s="16">
        <v>270.0</v>
      </c>
      <c r="H96" s="31" t="s">
        <v>71</v>
      </c>
    </row>
    <row r="97" ht="15.75" customHeight="1">
      <c r="B97" s="16" t="s">
        <v>32</v>
      </c>
      <c r="C97" s="16" t="s">
        <v>77</v>
      </c>
      <c r="D97" s="16" t="s">
        <v>169</v>
      </c>
      <c r="E97" s="30">
        <v>60.0</v>
      </c>
      <c r="F97" s="16">
        <v>0.0</v>
      </c>
      <c r="G97" s="16">
        <v>25.0</v>
      </c>
      <c r="H97" s="31" t="s">
        <v>71</v>
      </c>
    </row>
    <row r="98" ht="15.75" customHeight="1">
      <c r="B98" s="16" t="s">
        <v>32</v>
      </c>
      <c r="C98" s="16" t="s">
        <v>72</v>
      </c>
      <c r="D98" s="16" t="s">
        <v>170</v>
      </c>
      <c r="E98" s="30">
        <v>65.0</v>
      </c>
      <c r="F98" s="16">
        <v>4.7</v>
      </c>
      <c r="G98" s="16">
        <v>120.0</v>
      </c>
      <c r="H98" s="31" t="s">
        <v>71</v>
      </c>
    </row>
    <row r="99" ht="15.75" customHeight="1">
      <c r="B99" s="16" t="s">
        <v>32</v>
      </c>
      <c r="C99" s="16" t="s">
        <v>72</v>
      </c>
      <c r="D99" s="16" t="s">
        <v>171</v>
      </c>
      <c r="E99" s="30">
        <v>65.0</v>
      </c>
      <c r="F99" s="16">
        <v>0.0</v>
      </c>
      <c r="G99" s="16">
        <v>150.0</v>
      </c>
      <c r="H99" s="31" t="s">
        <v>71</v>
      </c>
    </row>
    <row r="100" ht="15.75" customHeight="1">
      <c r="B100" s="16" t="s">
        <v>32</v>
      </c>
      <c r="C100" s="16" t="s">
        <v>72</v>
      </c>
      <c r="D100" s="16" t="s">
        <v>172</v>
      </c>
      <c r="E100" s="30">
        <v>65.0</v>
      </c>
      <c r="F100" s="16">
        <v>0.0</v>
      </c>
      <c r="G100" s="16">
        <v>300.0</v>
      </c>
      <c r="H100" s="31" t="s">
        <v>71</v>
      </c>
    </row>
    <row r="101" ht="15.75" customHeight="1">
      <c r="B101" s="16" t="s">
        <v>32</v>
      </c>
      <c r="C101" s="16" t="s">
        <v>72</v>
      </c>
      <c r="D101" s="16" t="s">
        <v>173</v>
      </c>
      <c r="E101" s="30">
        <v>65.0</v>
      </c>
      <c r="F101" s="16">
        <v>0.0</v>
      </c>
      <c r="G101" s="16">
        <v>400.0</v>
      </c>
      <c r="H101" s="31" t="s">
        <v>71</v>
      </c>
    </row>
    <row r="102" ht="15.75" customHeight="1">
      <c r="B102" s="16" t="s">
        <v>32</v>
      </c>
      <c r="C102" s="16" t="s">
        <v>142</v>
      </c>
      <c r="D102" s="16" t="s">
        <v>174</v>
      </c>
      <c r="E102" s="30">
        <v>65.0</v>
      </c>
      <c r="F102" s="16">
        <v>5.0</v>
      </c>
      <c r="G102" s="16">
        <v>150.0</v>
      </c>
      <c r="H102" s="31" t="s">
        <v>71</v>
      </c>
    </row>
    <row r="103" ht="15.75" customHeight="1">
      <c r="B103" s="16" t="s">
        <v>32</v>
      </c>
      <c r="C103" s="16" t="s">
        <v>72</v>
      </c>
      <c r="D103" s="16" t="s">
        <v>175</v>
      </c>
      <c r="E103" s="30">
        <v>69.5</v>
      </c>
      <c r="F103" s="16">
        <v>4.8</v>
      </c>
      <c r="G103" s="16">
        <v>350.0</v>
      </c>
      <c r="H103" s="31" t="s">
        <v>71</v>
      </c>
    </row>
    <row r="104" ht="15.75" customHeight="1">
      <c r="B104" s="16" t="s">
        <v>32</v>
      </c>
      <c r="C104" s="16" t="s">
        <v>72</v>
      </c>
      <c r="D104" s="16" t="s">
        <v>176</v>
      </c>
      <c r="E104" s="30">
        <v>69.5</v>
      </c>
      <c r="F104" s="16">
        <v>0.0</v>
      </c>
      <c r="G104" s="16">
        <v>1000.0</v>
      </c>
      <c r="H104" s="31" t="s">
        <v>71</v>
      </c>
    </row>
    <row r="105" ht="15.75" customHeight="1">
      <c r="B105" s="16" t="s">
        <v>32</v>
      </c>
      <c r="C105" s="16" t="s">
        <v>72</v>
      </c>
      <c r="D105" s="16" t="s">
        <v>177</v>
      </c>
      <c r="E105" s="30">
        <v>70.0</v>
      </c>
      <c r="F105" s="16">
        <v>4.9</v>
      </c>
      <c r="G105" s="16">
        <v>220.0</v>
      </c>
      <c r="H105" s="31" t="s">
        <v>71</v>
      </c>
    </row>
    <row r="106" ht="15.75" customHeight="1">
      <c r="B106" s="16" t="s">
        <v>32</v>
      </c>
      <c r="C106" s="16" t="s">
        <v>72</v>
      </c>
      <c r="D106" s="16" t="s">
        <v>178</v>
      </c>
      <c r="E106" s="30">
        <v>70.0</v>
      </c>
      <c r="F106" s="16">
        <v>5.0</v>
      </c>
      <c r="G106" s="16">
        <v>150.0</v>
      </c>
      <c r="H106" s="31" t="s">
        <v>71</v>
      </c>
    </row>
    <row r="107" ht="15.75" customHeight="1">
      <c r="B107" s="16" t="s">
        <v>32</v>
      </c>
      <c r="C107" s="16" t="s">
        <v>72</v>
      </c>
      <c r="D107" s="16" t="s">
        <v>179</v>
      </c>
      <c r="E107" s="30">
        <v>75.0</v>
      </c>
      <c r="F107" s="16">
        <v>5.0</v>
      </c>
      <c r="G107" s="16">
        <v>350.0</v>
      </c>
      <c r="H107" s="31" t="s">
        <v>71</v>
      </c>
    </row>
    <row r="108" ht="15.75" customHeight="1">
      <c r="B108" s="16" t="s">
        <v>32</v>
      </c>
      <c r="C108" s="16" t="s">
        <v>72</v>
      </c>
      <c r="D108" s="16" t="s">
        <v>180</v>
      </c>
      <c r="E108" s="30">
        <v>75.0</v>
      </c>
      <c r="F108" s="16">
        <v>4.9</v>
      </c>
      <c r="G108" s="16">
        <v>500.0</v>
      </c>
      <c r="H108" s="31" t="s">
        <v>71</v>
      </c>
    </row>
    <row r="109" ht="15.75" customHeight="1">
      <c r="B109" s="16" t="s">
        <v>32</v>
      </c>
      <c r="C109" s="16" t="s">
        <v>72</v>
      </c>
      <c r="D109" s="16" t="s">
        <v>181</v>
      </c>
      <c r="E109" s="30">
        <v>75.0</v>
      </c>
      <c r="F109" s="16">
        <v>5.0</v>
      </c>
      <c r="G109" s="16">
        <v>220.0</v>
      </c>
      <c r="H109" s="31" t="s">
        <v>71</v>
      </c>
    </row>
    <row r="110" ht="15.75" customHeight="1">
      <c r="B110" s="16" t="s">
        <v>32</v>
      </c>
      <c r="C110" s="16" t="s">
        <v>72</v>
      </c>
      <c r="D110" s="16" t="s">
        <v>182</v>
      </c>
      <c r="E110" s="30">
        <v>75.0</v>
      </c>
      <c r="F110" s="16">
        <v>5.0</v>
      </c>
      <c r="G110" s="16">
        <v>150.0</v>
      </c>
      <c r="H110" s="31" t="s">
        <v>71</v>
      </c>
    </row>
    <row r="111" ht="15.75" customHeight="1">
      <c r="B111" s="16" t="s">
        <v>32</v>
      </c>
      <c r="C111" s="16" t="s">
        <v>72</v>
      </c>
      <c r="D111" s="16" t="s">
        <v>183</v>
      </c>
      <c r="E111" s="30">
        <v>75.0</v>
      </c>
      <c r="F111" s="16">
        <v>5.0</v>
      </c>
      <c r="G111" s="16">
        <v>250.0</v>
      </c>
      <c r="H111" s="31" t="s">
        <v>71</v>
      </c>
    </row>
    <row r="112" ht="15.75" customHeight="1">
      <c r="B112" s="16" t="s">
        <v>32</v>
      </c>
      <c r="C112" s="16" t="s">
        <v>72</v>
      </c>
      <c r="D112" s="16" t="s">
        <v>184</v>
      </c>
      <c r="E112" s="30">
        <v>75.0</v>
      </c>
      <c r="F112" s="16">
        <v>5.0</v>
      </c>
      <c r="G112" s="16">
        <v>350.0</v>
      </c>
      <c r="H112" s="31" t="s">
        <v>71</v>
      </c>
    </row>
    <row r="113" ht="15.75" customHeight="1">
      <c r="B113" s="16" t="s">
        <v>32</v>
      </c>
      <c r="C113" s="16" t="s">
        <v>72</v>
      </c>
      <c r="D113" s="16" t="s">
        <v>185</v>
      </c>
      <c r="E113" s="30">
        <v>75.0</v>
      </c>
      <c r="F113" s="16">
        <v>5.0</v>
      </c>
      <c r="G113" s="16">
        <v>300.0</v>
      </c>
      <c r="H113" s="31" t="s">
        <v>71</v>
      </c>
    </row>
    <row r="114" ht="15.75" customHeight="1">
      <c r="B114" s="16" t="s">
        <v>32</v>
      </c>
      <c r="C114" s="16" t="s">
        <v>72</v>
      </c>
      <c r="D114" s="16" t="s">
        <v>186</v>
      </c>
      <c r="E114" s="30">
        <v>75.0</v>
      </c>
      <c r="F114" s="16">
        <v>4.2</v>
      </c>
      <c r="G114" s="16">
        <v>120.0</v>
      </c>
      <c r="H114" s="31" t="s">
        <v>71</v>
      </c>
    </row>
    <row r="115" ht="15.75" customHeight="1">
      <c r="B115" s="16" t="s">
        <v>32</v>
      </c>
      <c r="C115" s="16" t="s">
        <v>72</v>
      </c>
      <c r="D115" s="16" t="s">
        <v>187</v>
      </c>
      <c r="E115" s="30">
        <v>75.0</v>
      </c>
      <c r="F115" s="16">
        <v>4.9</v>
      </c>
      <c r="G115" s="16">
        <v>300.0</v>
      </c>
      <c r="H115" s="31" t="s">
        <v>71</v>
      </c>
    </row>
    <row r="116" ht="15.75" customHeight="1">
      <c r="B116" s="16" t="s">
        <v>32</v>
      </c>
      <c r="C116" s="16" t="s">
        <v>72</v>
      </c>
      <c r="D116" s="16" t="s">
        <v>188</v>
      </c>
      <c r="E116" s="30">
        <v>75.0</v>
      </c>
      <c r="F116" s="16">
        <v>0.0</v>
      </c>
      <c r="G116" s="16">
        <v>250.0</v>
      </c>
      <c r="H116" s="31" t="s">
        <v>71</v>
      </c>
    </row>
    <row r="117" ht="15.75" customHeight="1">
      <c r="B117" s="16" t="s">
        <v>32</v>
      </c>
      <c r="C117" s="16" t="s">
        <v>72</v>
      </c>
      <c r="D117" s="16" t="s">
        <v>189</v>
      </c>
      <c r="E117" s="30">
        <v>80.0</v>
      </c>
      <c r="F117" s="16">
        <v>5.0</v>
      </c>
      <c r="G117" s="16">
        <v>180.0</v>
      </c>
      <c r="H117" s="31" t="s">
        <v>71</v>
      </c>
    </row>
    <row r="118" ht="15.75" customHeight="1">
      <c r="B118" s="16" t="s">
        <v>32</v>
      </c>
      <c r="C118" s="16" t="s">
        <v>72</v>
      </c>
      <c r="D118" s="16" t="s">
        <v>190</v>
      </c>
      <c r="E118" s="30">
        <v>80.0</v>
      </c>
      <c r="F118" s="16">
        <v>4.7</v>
      </c>
      <c r="G118" s="16">
        <v>220.0</v>
      </c>
      <c r="H118" s="31" t="s">
        <v>71</v>
      </c>
    </row>
    <row r="119" ht="15.75" customHeight="1">
      <c r="B119" s="16" t="s">
        <v>32</v>
      </c>
      <c r="C119" s="16" t="s">
        <v>72</v>
      </c>
      <c r="D119" s="16" t="s">
        <v>191</v>
      </c>
      <c r="E119" s="30">
        <v>80.0</v>
      </c>
      <c r="F119" s="16">
        <v>4.9</v>
      </c>
      <c r="G119" s="16">
        <v>200.0</v>
      </c>
      <c r="H119" s="31" t="s">
        <v>71</v>
      </c>
    </row>
    <row r="120" ht="15.75" customHeight="1">
      <c r="B120" s="16" t="s">
        <v>32</v>
      </c>
      <c r="C120" s="16" t="s">
        <v>72</v>
      </c>
      <c r="D120" s="16" t="s">
        <v>192</v>
      </c>
      <c r="E120" s="30">
        <v>80.0</v>
      </c>
      <c r="F120" s="16">
        <v>4.9</v>
      </c>
      <c r="G120" s="16">
        <v>1000.0</v>
      </c>
      <c r="H120" s="31" t="s">
        <v>71</v>
      </c>
    </row>
    <row r="121" ht="15.75" customHeight="1">
      <c r="B121" s="16" t="s">
        <v>32</v>
      </c>
      <c r="C121" s="16" t="s">
        <v>72</v>
      </c>
      <c r="D121" s="16" t="s">
        <v>193</v>
      </c>
      <c r="E121" s="30">
        <v>80.0</v>
      </c>
      <c r="F121" s="16">
        <v>4.9</v>
      </c>
      <c r="G121" s="16">
        <v>500.0</v>
      </c>
      <c r="H121" s="31" t="s">
        <v>71</v>
      </c>
    </row>
    <row r="122" ht="15.75" customHeight="1">
      <c r="B122" s="16" t="s">
        <v>32</v>
      </c>
      <c r="C122" s="16" t="s">
        <v>72</v>
      </c>
      <c r="D122" s="16" t="s">
        <v>194</v>
      </c>
      <c r="E122" s="30">
        <v>80.0</v>
      </c>
      <c r="F122" s="16">
        <v>4.8</v>
      </c>
      <c r="G122" s="16">
        <v>300.0</v>
      </c>
      <c r="H122" s="31" t="s">
        <v>71</v>
      </c>
    </row>
    <row r="123" ht="15.75" customHeight="1">
      <c r="B123" s="16" t="s">
        <v>32</v>
      </c>
      <c r="C123" s="16" t="s">
        <v>72</v>
      </c>
      <c r="D123" s="16" t="s">
        <v>195</v>
      </c>
      <c r="E123" s="30">
        <v>80.0</v>
      </c>
      <c r="F123" s="16">
        <v>0.0</v>
      </c>
      <c r="G123" s="16">
        <v>526.0</v>
      </c>
      <c r="H123" s="31" t="s">
        <v>71</v>
      </c>
    </row>
    <row r="124" ht="15.75" customHeight="1">
      <c r="B124" s="16" t="s">
        <v>32</v>
      </c>
      <c r="C124" s="16" t="s">
        <v>72</v>
      </c>
      <c r="D124" s="16" t="s">
        <v>196</v>
      </c>
      <c r="E124" s="30">
        <v>80.0</v>
      </c>
      <c r="F124" s="16">
        <v>4.9</v>
      </c>
      <c r="G124" s="16">
        <v>350.0</v>
      </c>
      <c r="H124" s="31" t="s">
        <v>71</v>
      </c>
    </row>
    <row r="125" ht="15.75" customHeight="1">
      <c r="B125" s="16" t="s">
        <v>32</v>
      </c>
      <c r="C125" s="16" t="s">
        <v>72</v>
      </c>
      <c r="D125" s="16" t="s">
        <v>197</v>
      </c>
      <c r="E125" s="30">
        <v>80.0</v>
      </c>
      <c r="F125" s="16">
        <v>4.6</v>
      </c>
      <c r="G125" s="16">
        <v>80.0</v>
      </c>
      <c r="H125" s="31" t="s">
        <v>71</v>
      </c>
    </row>
    <row r="126" ht="15.75" customHeight="1">
      <c r="B126" s="16" t="s">
        <v>32</v>
      </c>
      <c r="C126" s="16" t="s">
        <v>72</v>
      </c>
      <c r="D126" s="16" t="s">
        <v>198</v>
      </c>
      <c r="E126" s="30">
        <v>80.0</v>
      </c>
      <c r="F126" s="16">
        <v>0.0</v>
      </c>
      <c r="G126" s="16">
        <v>250.0</v>
      </c>
      <c r="H126" s="31" t="s">
        <v>71</v>
      </c>
    </row>
    <row r="127" ht="15.75" customHeight="1">
      <c r="B127" s="16" t="s">
        <v>32</v>
      </c>
      <c r="C127" s="16" t="s">
        <v>72</v>
      </c>
      <c r="D127" s="16" t="s">
        <v>199</v>
      </c>
      <c r="E127" s="30">
        <v>80.0</v>
      </c>
      <c r="F127" s="16">
        <v>0.0</v>
      </c>
      <c r="G127" s="16">
        <v>450.0</v>
      </c>
      <c r="H127" s="31" t="s">
        <v>71</v>
      </c>
    </row>
    <row r="128" ht="15.75" customHeight="1">
      <c r="B128" s="16" t="s">
        <v>32</v>
      </c>
      <c r="C128" s="16" t="s">
        <v>72</v>
      </c>
      <c r="D128" s="16" t="s">
        <v>200</v>
      </c>
      <c r="E128" s="30">
        <v>85.0</v>
      </c>
      <c r="F128" s="16">
        <v>4.9</v>
      </c>
      <c r="G128" s="16">
        <v>300.0</v>
      </c>
      <c r="H128" s="31" t="s">
        <v>71</v>
      </c>
    </row>
    <row r="129" ht="15.75" customHeight="1">
      <c r="B129" s="16" t="s">
        <v>32</v>
      </c>
      <c r="C129" s="16" t="s">
        <v>72</v>
      </c>
      <c r="D129" s="16" t="s">
        <v>201</v>
      </c>
      <c r="E129" s="30">
        <v>85.0</v>
      </c>
      <c r="F129" s="16">
        <v>5.0</v>
      </c>
      <c r="G129" s="16">
        <v>300.0</v>
      </c>
      <c r="H129" s="31" t="s">
        <v>71</v>
      </c>
    </row>
    <row r="130" ht="15.75" customHeight="1">
      <c r="B130" s="16" t="s">
        <v>32</v>
      </c>
      <c r="C130" s="16" t="s">
        <v>72</v>
      </c>
      <c r="D130" s="16" t="s">
        <v>202</v>
      </c>
      <c r="E130" s="30">
        <v>85.0</v>
      </c>
      <c r="F130" s="16">
        <v>4.9</v>
      </c>
      <c r="G130" s="16">
        <v>250.0</v>
      </c>
      <c r="H130" s="31" t="s">
        <v>71</v>
      </c>
    </row>
    <row r="131" ht="15.75" customHeight="1">
      <c r="B131" s="16" t="s">
        <v>32</v>
      </c>
      <c r="C131" s="16" t="s">
        <v>72</v>
      </c>
      <c r="D131" s="16" t="s">
        <v>203</v>
      </c>
      <c r="E131" s="30">
        <v>85.0</v>
      </c>
      <c r="F131" s="16">
        <v>0.0</v>
      </c>
      <c r="G131" s="16">
        <v>220.0</v>
      </c>
      <c r="H131" s="31" t="s">
        <v>71</v>
      </c>
    </row>
    <row r="132" ht="15.75" customHeight="1">
      <c r="B132" s="16" t="s">
        <v>32</v>
      </c>
      <c r="C132" s="16" t="s">
        <v>72</v>
      </c>
      <c r="D132" s="16" t="s">
        <v>204</v>
      </c>
      <c r="E132" s="30">
        <v>85.0</v>
      </c>
      <c r="F132" s="16">
        <v>4.9</v>
      </c>
      <c r="G132" s="16">
        <v>350.0</v>
      </c>
      <c r="H132" s="31" t="s">
        <v>71</v>
      </c>
    </row>
    <row r="133" ht="15.75" customHeight="1">
      <c r="B133" s="16" t="s">
        <v>32</v>
      </c>
      <c r="C133" s="16" t="s">
        <v>72</v>
      </c>
      <c r="D133" s="16" t="s">
        <v>205</v>
      </c>
      <c r="E133" s="30">
        <v>85.0</v>
      </c>
      <c r="F133" s="16">
        <v>5.0</v>
      </c>
      <c r="G133" s="16">
        <v>250.0</v>
      </c>
      <c r="H133" s="31" t="s">
        <v>71</v>
      </c>
    </row>
    <row r="134" ht="15.75" customHeight="1">
      <c r="B134" s="16" t="s">
        <v>32</v>
      </c>
      <c r="C134" s="16" t="s">
        <v>72</v>
      </c>
      <c r="D134" s="16" t="s">
        <v>206</v>
      </c>
      <c r="E134" s="30">
        <v>85.0</v>
      </c>
      <c r="F134" s="16">
        <v>0.0</v>
      </c>
      <c r="G134" s="16">
        <v>160.0</v>
      </c>
      <c r="H134" s="31" t="s">
        <v>71</v>
      </c>
    </row>
    <row r="135" ht="15.75" customHeight="1">
      <c r="B135" s="16" t="s">
        <v>32</v>
      </c>
      <c r="C135" s="16" t="s">
        <v>72</v>
      </c>
      <c r="D135" s="16" t="s">
        <v>207</v>
      </c>
      <c r="E135" s="30">
        <v>87.0</v>
      </c>
      <c r="F135" s="16">
        <v>4.9</v>
      </c>
      <c r="G135" s="16">
        <v>300.0</v>
      </c>
      <c r="H135" s="31" t="s">
        <v>71</v>
      </c>
    </row>
    <row r="136" ht="15.75" customHeight="1">
      <c r="B136" s="16" t="s">
        <v>32</v>
      </c>
      <c r="C136" s="16" t="s">
        <v>72</v>
      </c>
      <c r="D136" s="16" t="s">
        <v>208</v>
      </c>
      <c r="E136" s="30">
        <v>89.0</v>
      </c>
      <c r="F136" s="16">
        <v>5.0</v>
      </c>
      <c r="G136" s="16">
        <v>250.0</v>
      </c>
      <c r="H136" s="31" t="s">
        <v>71</v>
      </c>
    </row>
    <row r="137" ht="15.75" customHeight="1">
      <c r="B137" s="16" t="s">
        <v>32</v>
      </c>
      <c r="C137" s="16" t="s">
        <v>72</v>
      </c>
      <c r="D137" s="16" t="s">
        <v>209</v>
      </c>
      <c r="E137" s="30">
        <v>90.0</v>
      </c>
      <c r="F137" s="16">
        <v>4.9</v>
      </c>
      <c r="G137" s="16">
        <v>450.0</v>
      </c>
      <c r="H137" s="31" t="s">
        <v>71</v>
      </c>
    </row>
    <row r="138" ht="15.75" customHeight="1">
      <c r="B138" s="16" t="s">
        <v>32</v>
      </c>
      <c r="C138" s="16" t="s">
        <v>72</v>
      </c>
      <c r="D138" s="16" t="s">
        <v>210</v>
      </c>
      <c r="E138" s="30">
        <v>90.0</v>
      </c>
      <c r="F138" s="16">
        <v>5.0</v>
      </c>
      <c r="G138" s="16">
        <v>500.0</v>
      </c>
      <c r="H138" s="31" t="s">
        <v>71</v>
      </c>
    </row>
    <row r="139" ht="15.75" customHeight="1">
      <c r="B139" s="16" t="s">
        <v>32</v>
      </c>
      <c r="C139" s="16" t="s">
        <v>72</v>
      </c>
      <c r="D139" s="16" t="s">
        <v>211</v>
      </c>
      <c r="E139" s="30">
        <v>90.0</v>
      </c>
      <c r="F139" s="16">
        <v>5.0</v>
      </c>
      <c r="G139" s="16">
        <v>300.0</v>
      </c>
      <c r="H139" s="31" t="s">
        <v>71</v>
      </c>
    </row>
    <row r="140" ht="15.75" customHeight="1">
      <c r="B140" s="16" t="s">
        <v>32</v>
      </c>
      <c r="C140" s="16" t="s">
        <v>72</v>
      </c>
      <c r="D140" s="16" t="s">
        <v>212</v>
      </c>
      <c r="E140" s="30">
        <v>90.0</v>
      </c>
      <c r="F140" s="16">
        <v>4.9</v>
      </c>
      <c r="G140" s="16">
        <v>450.0</v>
      </c>
      <c r="H140" s="31" t="s">
        <v>71</v>
      </c>
    </row>
    <row r="141" ht="15.75" customHeight="1">
      <c r="B141" s="16" t="s">
        <v>32</v>
      </c>
      <c r="C141" s="16" t="s">
        <v>72</v>
      </c>
      <c r="D141" s="16" t="s">
        <v>213</v>
      </c>
      <c r="E141" s="30">
        <v>90.0</v>
      </c>
      <c r="F141" s="16">
        <v>5.0</v>
      </c>
      <c r="G141" s="16">
        <v>500.0</v>
      </c>
      <c r="H141" s="31" t="s">
        <v>71</v>
      </c>
    </row>
    <row r="142" ht="15.75" customHeight="1">
      <c r="B142" s="16" t="s">
        <v>32</v>
      </c>
      <c r="C142" s="16" t="s">
        <v>72</v>
      </c>
      <c r="D142" s="16" t="s">
        <v>214</v>
      </c>
      <c r="E142" s="30">
        <v>90.0</v>
      </c>
      <c r="F142" s="16">
        <v>4.9</v>
      </c>
      <c r="G142" s="16">
        <v>300.0</v>
      </c>
      <c r="H142" s="31" t="s">
        <v>71</v>
      </c>
    </row>
    <row r="143" ht="15.75" customHeight="1">
      <c r="B143" s="16" t="s">
        <v>32</v>
      </c>
      <c r="C143" s="16" t="s">
        <v>72</v>
      </c>
      <c r="D143" s="16" t="s">
        <v>215</v>
      </c>
      <c r="E143" s="30">
        <v>90.0</v>
      </c>
      <c r="F143" s="16">
        <v>4.9</v>
      </c>
      <c r="G143" s="16">
        <v>400.0</v>
      </c>
      <c r="H143" s="31" t="s">
        <v>71</v>
      </c>
    </row>
    <row r="144" ht="15.75" customHeight="1">
      <c r="B144" s="16" t="s">
        <v>32</v>
      </c>
      <c r="C144" s="16" t="s">
        <v>72</v>
      </c>
      <c r="D144" s="16" t="s">
        <v>216</v>
      </c>
      <c r="E144" s="30">
        <v>92.0</v>
      </c>
      <c r="F144" s="16">
        <v>4.9</v>
      </c>
      <c r="G144" s="16">
        <v>400.0</v>
      </c>
      <c r="H144" s="31" t="s">
        <v>71</v>
      </c>
    </row>
    <row r="145" ht="15.75" customHeight="1">
      <c r="B145" s="16" t="s">
        <v>32</v>
      </c>
      <c r="C145" s="16" t="s">
        <v>72</v>
      </c>
      <c r="D145" s="16" t="s">
        <v>217</v>
      </c>
      <c r="E145" s="30">
        <v>94.0</v>
      </c>
      <c r="F145" s="16">
        <v>5.0</v>
      </c>
      <c r="G145" s="16">
        <v>270.0</v>
      </c>
      <c r="H145" s="31" t="s">
        <v>71</v>
      </c>
    </row>
    <row r="146" ht="15.75" customHeight="1">
      <c r="B146" s="16" t="s">
        <v>32</v>
      </c>
      <c r="C146" s="16" t="s">
        <v>72</v>
      </c>
      <c r="D146" s="16" t="s">
        <v>218</v>
      </c>
      <c r="E146" s="30">
        <v>95.0</v>
      </c>
      <c r="F146" s="16">
        <v>4.9</v>
      </c>
      <c r="G146" s="16">
        <v>220.0</v>
      </c>
      <c r="H146" s="31" t="s">
        <v>71</v>
      </c>
    </row>
    <row r="147" ht="15.75" customHeight="1">
      <c r="B147" s="16" t="s">
        <v>32</v>
      </c>
      <c r="C147" s="16" t="s">
        <v>72</v>
      </c>
      <c r="D147" s="16" t="s">
        <v>219</v>
      </c>
      <c r="E147" s="30">
        <v>95.0</v>
      </c>
      <c r="F147" s="16">
        <v>5.0</v>
      </c>
      <c r="G147" s="16">
        <v>300.0</v>
      </c>
      <c r="H147" s="31" t="s">
        <v>71</v>
      </c>
    </row>
    <row r="148" ht="15.75" customHeight="1">
      <c r="B148" s="16" t="s">
        <v>32</v>
      </c>
      <c r="C148" s="16" t="s">
        <v>72</v>
      </c>
      <c r="D148" s="16" t="s">
        <v>220</v>
      </c>
      <c r="E148" s="30">
        <v>95.0</v>
      </c>
      <c r="F148" s="16">
        <v>4.9</v>
      </c>
      <c r="G148" s="16">
        <v>200.0</v>
      </c>
      <c r="H148" s="31" t="s">
        <v>71</v>
      </c>
    </row>
    <row r="149" ht="15.75" customHeight="1">
      <c r="B149" s="16" t="s">
        <v>32</v>
      </c>
      <c r="C149" s="16" t="s">
        <v>72</v>
      </c>
      <c r="D149" s="16" t="s">
        <v>221</v>
      </c>
      <c r="E149" s="30">
        <v>98.0</v>
      </c>
      <c r="F149" s="16">
        <v>4.9</v>
      </c>
      <c r="G149" s="16">
        <v>280.0</v>
      </c>
      <c r="H149" s="31" t="s">
        <v>71</v>
      </c>
    </row>
    <row r="150" ht="15.75" customHeight="1">
      <c r="B150" s="16" t="s">
        <v>32</v>
      </c>
      <c r="C150" s="16" t="s">
        <v>72</v>
      </c>
      <c r="D150" s="16" t="s">
        <v>222</v>
      </c>
      <c r="E150" s="30">
        <v>98.0</v>
      </c>
      <c r="F150" s="16">
        <v>5.0</v>
      </c>
      <c r="G150" s="16">
        <v>120.0</v>
      </c>
      <c r="H150" s="31" t="s">
        <v>71</v>
      </c>
    </row>
    <row r="151" ht="15.75" customHeight="1">
      <c r="B151" s="16" t="s">
        <v>32</v>
      </c>
      <c r="C151" s="16" t="s">
        <v>72</v>
      </c>
      <c r="D151" s="16" t="s">
        <v>223</v>
      </c>
      <c r="E151" s="30">
        <v>100.0</v>
      </c>
      <c r="F151" s="16">
        <v>5.0</v>
      </c>
      <c r="G151" s="16">
        <v>400.0</v>
      </c>
      <c r="H151" s="31" t="s">
        <v>71</v>
      </c>
    </row>
    <row r="152" ht="15.75" customHeight="1">
      <c r="B152" s="16" t="s">
        <v>32</v>
      </c>
      <c r="C152" s="16" t="s">
        <v>72</v>
      </c>
      <c r="D152" s="16" t="s">
        <v>224</v>
      </c>
      <c r="E152" s="30">
        <v>100.0</v>
      </c>
      <c r="F152" s="16">
        <v>5.0</v>
      </c>
      <c r="G152" s="16">
        <v>350.0</v>
      </c>
      <c r="H152" s="31" t="s">
        <v>71</v>
      </c>
    </row>
    <row r="153" ht="15.75" customHeight="1">
      <c r="B153" s="16" t="s">
        <v>32</v>
      </c>
      <c r="C153" s="16" t="s">
        <v>72</v>
      </c>
      <c r="D153" s="16" t="s">
        <v>225</v>
      </c>
      <c r="E153" s="30">
        <v>100.0</v>
      </c>
      <c r="F153" s="16">
        <v>5.0</v>
      </c>
      <c r="G153" s="16">
        <v>430.0</v>
      </c>
      <c r="H153" s="31" t="s">
        <v>71</v>
      </c>
    </row>
    <row r="154" ht="15.75" customHeight="1">
      <c r="B154" s="16" t="s">
        <v>32</v>
      </c>
      <c r="C154" s="16" t="s">
        <v>72</v>
      </c>
      <c r="D154" s="16" t="s">
        <v>226</v>
      </c>
      <c r="E154" s="30">
        <v>100.0</v>
      </c>
      <c r="F154" s="16">
        <v>5.0</v>
      </c>
      <c r="G154" s="16">
        <v>220.0</v>
      </c>
      <c r="H154" s="31" t="s">
        <v>71</v>
      </c>
    </row>
    <row r="155" ht="15.75" customHeight="1">
      <c r="B155" s="16" t="s">
        <v>32</v>
      </c>
      <c r="C155" s="16" t="s">
        <v>72</v>
      </c>
      <c r="D155" s="16" t="s">
        <v>227</v>
      </c>
      <c r="E155" s="30">
        <v>100.0</v>
      </c>
      <c r="F155" s="16">
        <v>5.0</v>
      </c>
      <c r="G155" s="16">
        <v>140.0</v>
      </c>
      <c r="H155" s="31" t="s">
        <v>71</v>
      </c>
    </row>
    <row r="156" ht="15.75" customHeight="1">
      <c r="B156" s="16" t="s">
        <v>32</v>
      </c>
      <c r="C156" s="16" t="s">
        <v>72</v>
      </c>
      <c r="D156" s="16" t="s">
        <v>228</v>
      </c>
      <c r="E156" s="30">
        <v>100.0</v>
      </c>
      <c r="F156" s="16">
        <v>0.0</v>
      </c>
      <c r="G156" s="16">
        <v>250.0</v>
      </c>
      <c r="H156" s="31" t="s">
        <v>71</v>
      </c>
    </row>
    <row r="157" ht="15.75" customHeight="1">
      <c r="B157" s="16" t="s">
        <v>32</v>
      </c>
      <c r="C157" s="16" t="s">
        <v>77</v>
      </c>
      <c r="D157" s="16" t="s">
        <v>229</v>
      </c>
      <c r="E157" s="30">
        <v>100.0</v>
      </c>
      <c r="F157" s="16">
        <v>0.0</v>
      </c>
      <c r="G157" s="16">
        <v>70.0</v>
      </c>
      <c r="H157" s="31" t="s">
        <v>71</v>
      </c>
    </row>
    <row r="158" ht="15.75" customHeight="1">
      <c r="B158" s="16" t="s">
        <v>32</v>
      </c>
      <c r="C158" s="16" t="s">
        <v>72</v>
      </c>
      <c r="D158" s="16" t="s">
        <v>212</v>
      </c>
      <c r="E158" s="30">
        <v>105.0</v>
      </c>
      <c r="F158" s="16">
        <v>5.0</v>
      </c>
      <c r="G158" s="16">
        <v>600.0</v>
      </c>
      <c r="H158" s="31" t="s">
        <v>71</v>
      </c>
    </row>
    <row r="159" ht="15.75" customHeight="1">
      <c r="B159" s="16" t="s">
        <v>32</v>
      </c>
      <c r="C159" s="16" t="s">
        <v>72</v>
      </c>
      <c r="D159" s="16" t="s">
        <v>230</v>
      </c>
      <c r="E159" s="30">
        <v>110.0</v>
      </c>
      <c r="F159" s="16">
        <v>5.0</v>
      </c>
      <c r="G159" s="16">
        <v>120.0</v>
      </c>
      <c r="H159" s="31" t="s">
        <v>71</v>
      </c>
    </row>
    <row r="160" ht="15.75" customHeight="1">
      <c r="B160" s="16" t="s">
        <v>32</v>
      </c>
      <c r="C160" s="16" t="s">
        <v>72</v>
      </c>
      <c r="D160" s="16" t="s">
        <v>231</v>
      </c>
      <c r="E160" s="30">
        <v>110.0</v>
      </c>
      <c r="F160" s="16">
        <v>5.0</v>
      </c>
      <c r="G160" s="16">
        <v>220.0</v>
      </c>
      <c r="H160" s="31" t="s">
        <v>71</v>
      </c>
    </row>
    <row r="161" ht="15.75" customHeight="1">
      <c r="B161" s="16" t="s">
        <v>32</v>
      </c>
      <c r="C161" s="16" t="s">
        <v>72</v>
      </c>
      <c r="D161" s="16" t="s">
        <v>232</v>
      </c>
      <c r="E161" s="30">
        <v>115.0</v>
      </c>
      <c r="F161" s="16">
        <v>4.9</v>
      </c>
      <c r="G161" s="16">
        <v>350.0</v>
      </c>
      <c r="H161" s="31" t="s">
        <v>71</v>
      </c>
    </row>
    <row r="162" ht="15.75" customHeight="1">
      <c r="B162" s="16" t="s">
        <v>32</v>
      </c>
      <c r="C162" s="16" t="s">
        <v>72</v>
      </c>
      <c r="D162" s="16" t="s">
        <v>233</v>
      </c>
      <c r="E162" s="30">
        <v>115.0</v>
      </c>
      <c r="F162" s="16">
        <v>4.9</v>
      </c>
      <c r="G162" s="16">
        <v>250.0</v>
      </c>
      <c r="H162" s="31" t="s">
        <v>71</v>
      </c>
    </row>
    <row r="163" ht="15.75" customHeight="1">
      <c r="B163" s="16" t="s">
        <v>32</v>
      </c>
      <c r="C163" s="16" t="s">
        <v>72</v>
      </c>
      <c r="D163" s="16" t="s">
        <v>234</v>
      </c>
      <c r="E163" s="30">
        <v>125.0</v>
      </c>
      <c r="F163" s="16">
        <v>5.0</v>
      </c>
      <c r="G163" s="16">
        <v>450.0</v>
      </c>
      <c r="H163" s="31" t="s">
        <v>71</v>
      </c>
    </row>
    <row r="164" ht="15.75" customHeight="1">
      <c r="B164" s="16" t="s">
        <v>32</v>
      </c>
      <c r="C164" s="16" t="s">
        <v>72</v>
      </c>
      <c r="D164" s="16" t="s">
        <v>235</v>
      </c>
      <c r="E164" s="30">
        <v>125.0</v>
      </c>
      <c r="F164" s="16">
        <v>5.0</v>
      </c>
      <c r="G164" s="16">
        <v>410.0</v>
      </c>
      <c r="H164" s="31" t="s">
        <v>71</v>
      </c>
    </row>
    <row r="165" ht="15.75" customHeight="1">
      <c r="B165" s="16" t="s">
        <v>32</v>
      </c>
      <c r="C165" s="16" t="s">
        <v>72</v>
      </c>
      <c r="D165" s="16" t="s">
        <v>236</v>
      </c>
      <c r="E165" s="30">
        <v>145.0</v>
      </c>
      <c r="F165" s="16">
        <v>0.0</v>
      </c>
      <c r="G165" s="16">
        <v>200.0</v>
      </c>
      <c r="H165" s="31" t="s">
        <v>71</v>
      </c>
    </row>
    <row r="166" ht="15.75" customHeight="1">
      <c r="B166" s="16" t="s">
        <v>32</v>
      </c>
      <c r="C166" s="16" t="s">
        <v>72</v>
      </c>
      <c r="D166" s="16" t="s">
        <v>237</v>
      </c>
      <c r="E166" s="30">
        <v>154.0</v>
      </c>
      <c r="F166" s="16">
        <v>4.8</v>
      </c>
      <c r="G166" s="16">
        <v>300.0</v>
      </c>
      <c r="H166" s="31" t="s">
        <v>71</v>
      </c>
    </row>
    <row r="167" ht="15.75" customHeight="1">
      <c r="B167" s="16" t="s">
        <v>32</v>
      </c>
      <c r="C167" s="16" t="s">
        <v>72</v>
      </c>
      <c r="D167" s="16" t="s">
        <v>238</v>
      </c>
      <c r="E167" s="30">
        <v>175.0</v>
      </c>
      <c r="F167" s="16">
        <v>4.8</v>
      </c>
      <c r="G167" s="16">
        <v>250.0</v>
      </c>
      <c r="H167" s="31" t="s">
        <v>71</v>
      </c>
    </row>
    <row r="168" ht="15.75" customHeight="1">
      <c r="B168" s="16" t="s">
        <v>32</v>
      </c>
      <c r="C168" s="16" t="s">
        <v>72</v>
      </c>
      <c r="D168" s="16" t="s">
        <v>239</v>
      </c>
      <c r="E168" s="30">
        <v>210.0</v>
      </c>
      <c r="F168" s="16">
        <v>0.0</v>
      </c>
      <c r="G168" s="16">
        <v>300.0</v>
      </c>
      <c r="H168" s="31" t="s">
        <v>71</v>
      </c>
    </row>
    <row r="169" ht="15.75" customHeight="1">
      <c r="B169" s="16" t="s">
        <v>32</v>
      </c>
      <c r="C169" s="16" t="s">
        <v>72</v>
      </c>
      <c r="D169" s="16" t="s">
        <v>240</v>
      </c>
      <c r="E169" s="30">
        <v>215.0</v>
      </c>
      <c r="F169" s="16">
        <v>0.0</v>
      </c>
      <c r="G169" s="16">
        <v>350.0</v>
      </c>
      <c r="H169" s="31" t="s">
        <v>71</v>
      </c>
    </row>
    <row r="170" ht="15.75" customHeight="1">
      <c r="B170" s="16" t="s">
        <v>32</v>
      </c>
      <c r="C170" s="16" t="s">
        <v>72</v>
      </c>
      <c r="D170" s="16" t="s">
        <v>241</v>
      </c>
      <c r="E170" s="30">
        <v>750.0</v>
      </c>
      <c r="F170" s="16">
        <v>0.0</v>
      </c>
      <c r="G170" s="16">
        <v>21.0</v>
      </c>
      <c r="H170" s="31" t="s">
        <v>71</v>
      </c>
    </row>
    <row r="171" ht="15.75" customHeight="1">
      <c r="B171" s="16" t="s">
        <v>37</v>
      </c>
      <c r="C171" s="16" t="s">
        <v>142</v>
      </c>
      <c r="D171" s="16" t="s">
        <v>242</v>
      </c>
      <c r="E171" s="30">
        <v>20.0</v>
      </c>
      <c r="F171" s="16">
        <v>4.6</v>
      </c>
      <c r="G171" s="16">
        <v>1500.0</v>
      </c>
      <c r="H171" s="31" t="s">
        <v>71</v>
      </c>
    </row>
    <row r="172" ht="15.75" customHeight="1">
      <c r="B172" s="16" t="s">
        <v>37</v>
      </c>
      <c r="C172" s="16" t="s">
        <v>72</v>
      </c>
      <c r="D172" s="16" t="s">
        <v>243</v>
      </c>
      <c r="E172" s="30">
        <v>70.0</v>
      </c>
      <c r="F172" s="16">
        <v>0.0</v>
      </c>
      <c r="G172" s="16">
        <v>200.0</v>
      </c>
      <c r="H172" s="31" t="s">
        <v>71</v>
      </c>
    </row>
    <row r="173" ht="15.75" customHeight="1">
      <c r="B173" s="16" t="s">
        <v>37</v>
      </c>
      <c r="C173" s="16" t="s">
        <v>72</v>
      </c>
      <c r="D173" s="16" t="s">
        <v>116</v>
      </c>
      <c r="E173" s="30">
        <v>70.0</v>
      </c>
      <c r="F173" s="16">
        <v>5.0</v>
      </c>
      <c r="G173" s="16">
        <v>120.0</v>
      </c>
      <c r="H173" s="31" t="s">
        <v>71</v>
      </c>
    </row>
    <row r="174" ht="15.75" customHeight="1">
      <c r="B174" s="16" t="s">
        <v>37</v>
      </c>
      <c r="C174" s="16" t="s">
        <v>72</v>
      </c>
      <c r="D174" s="16" t="s">
        <v>244</v>
      </c>
      <c r="E174" s="30">
        <v>70.0</v>
      </c>
      <c r="F174" s="16">
        <v>5.0</v>
      </c>
      <c r="G174" s="16">
        <v>500.0</v>
      </c>
      <c r="H174" s="31" t="s">
        <v>71</v>
      </c>
    </row>
    <row r="175" ht="15.75" customHeight="1">
      <c r="B175" s="16" t="s">
        <v>37</v>
      </c>
      <c r="C175" s="16" t="s">
        <v>72</v>
      </c>
      <c r="D175" s="16" t="s">
        <v>245</v>
      </c>
      <c r="E175" s="30">
        <v>85.0</v>
      </c>
      <c r="F175" s="16">
        <v>0.0</v>
      </c>
      <c r="G175" s="16">
        <v>80.0</v>
      </c>
      <c r="H175" s="31" t="s">
        <v>71</v>
      </c>
    </row>
    <row r="176" ht="15.75" customHeight="1">
      <c r="B176" s="16" t="s">
        <v>37</v>
      </c>
      <c r="C176" s="16" t="s">
        <v>77</v>
      </c>
      <c r="D176" s="16" t="s">
        <v>246</v>
      </c>
      <c r="E176" s="30">
        <v>90.0</v>
      </c>
      <c r="F176" s="16">
        <v>4.6</v>
      </c>
      <c r="G176" s="16">
        <v>280.0</v>
      </c>
      <c r="H176" s="31" t="s">
        <v>71</v>
      </c>
    </row>
    <row r="177" ht="15.75" customHeight="1">
      <c r="B177" s="16" t="s">
        <v>37</v>
      </c>
      <c r="C177" s="16" t="s">
        <v>72</v>
      </c>
      <c r="D177" s="16" t="s">
        <v>247</v>
      </c>
      <c r="E177" s="30">
        <v>94.0</v>
      </c>
      <c r="F177" s="16">
        <v>4.9</v>
      </c>
      <c r="G177" s="16">
        <v>400.0</v>
      </c>
      <c r="H177" s="31" t="s">
        <v>71</v>
      </c>
    </row>
    <row r="178" ht="15.75" customHeight="1">
      <c r="B178" s="16" t="s">
        <v>37</v>
      </c>
      <c r="C178" s="16" t="s">
        <v>72</v>
      </c>
      <c r="D178" s="16" t="s">
        <v>248</v>
      </c>
      <c r="E178" s="30">
        <v>95.0</v>
      </c>
      <c r="F178" s="16">
        <v>4.8</v>
      </c>
      <c r="G178" s="16">
        <v>350.0</v>
      </c>
      <c r="H178" s="31" t="s">
        <v>71</v>
      </c>
    </row>
    <row r="179" ht="15.75" customHeight="1">
      <c r="B179" s="16" t="s">
        <v>37</v>
      </c>
      <c r="C179" s="16" t="s">
        <v>72</v>
      </c>
      <c r="D179" s="16" t="s">
        <v>249</v>
      </c>
      <c r="E179" s="30">
        <v>95.0</v>
      </c>
      <c r="F179" s="16">
        <v>0.0</v>
      </c>
      <c r="G179" s="16">
        <v>150.0</v>
      </c>
      <c r="H179" s="31" t="s">
        <v>71</v>
      </c>
    </row>
    <row r="180" ht="15.75" customHeight="1">
      <c r="B180" s="16" t="s">
        <v>37</v>
      </c>
      <c r="C180" s="16" t="s">
        <v>72</v>
      </c>
      <c r="D180" s="16" t="s">
        <v>250</v>
      </c>
      <c r="E180" s="30">
        <v>100.0</v>
      </c>
      <c r="F180" s="16">
        <v>4.8</v>
      </c>
      <c r="G180" s="16">
        <v>1200.0</v>
      </c>
      <c r="H180" s="31" t="s">
        <v>71</v>
      </c>
    </row>
    <row r="181" ht="15.75" customHeight="1">
      <c r="B181" s="16" t="s">
        <v>37</v>
      </c>
      <c r="C181" s="16" t="s">
        <v>72</v>
      </c>
      <c r="D181" s="16" t="s">
        <v>251</v>
      </c>
      <c r="E181" s="30">
        <v>100.0</v>
      </c>
      <c r="F181" s="16">
        <v>0.0</v>
      </c>
      <c r="G181" s="16">
        <v>40.0</v>
      </c>
      <c r="H181" s="31" t="s">
        <v>71</v>
      </c>
    </row>
    <row r="182" ht="15.75" customHeight="1">
      <c r="B182" s="16" t="s">
        <v>37</v>
      </c>
      <c r="C182" s="16" t="s">
        <v>72</v>
      </c>
      <c r="D182" s="16" t="s">
        <v>252</v>
      </c>
      <c r="E182" s="30">
        <v>100.0</v>
      </c>
      <c r="F182" s="16">
        <v>5.0</v>
      </c>
      <c r="G182" s="16">
        <v>600.0</v>
      </c>
      <c r="H182" s="31" t="s">
        <v>71</v>
      </c>
    </row>
    <row r="183" ht="15.75" customHeight="1">
      <c r="B183" s="16" t="s">
        <v>37</v>
      </c>
      <c r="C183" s="16" t="s">
        <v>72</v>
      </c>
      <c r="D183" s="16" t="s">
        <v>253</v>
      </c>
      <c r="E183" s="30">
        <v>100.0</v>
      </c>
      <c r="F183" s="16">
        <v>5.0</v>
      </c>
      <c r="G183" s="16">
        <v>220.0</v>
      </c>
      <c r="H183" s="31" t="s">
        <v>71</v>
      </c>
    </row>
    <row r="184" ht="15.75" customHeight="1">
      <c r="B184" s="16" t="s">
        <v>37</v>
      </c>
      <c r="C184" s="16" t="s">
        <v>72</v>
      </c>
      <c r="D184" s="16" t="s">
        <v>254</v>
      </c>
      <c r="E184" s="30">
        <v>112.0</v>
      </c>
      <c r="F184" s="16">
        <v>0.0</v>
      </c>
      <c r="G184" s="16">
        <v>60.0</v>
      </c>
      <c r="H184" s="31" t="s">
        <v>71</v>
      </c>
    </row>
    <row r="185" ht="15.75" customHeight="1">
      <c r="B185" s="16" t="s">
        <v>37</v>
      </c>
      <c r="C185" s="16" t="s">
        <v>72</v>
      </c>
      <c r="D185" s="16" t="s">
        <v>255</v>
      </c>
      <c r="E185" s="30">
        <v>720.0</v>
      </c>
      <c r="F185" s="16">
        <v>0.0</v>
      </c>
      <c r="G185" s="16">
        <v>500.0</v>
      </c>
      <c r="H185" s="31" t="s">
        <v>71</v>
      </c>
    </row>
    <row r="186" ht="15.75" customHeight="1">
      <c r="B186" s="16" t="s">
        <v>40</v>
      </c>
      <c r="C186" s="16" t="s">
        <v>72</v>
      </c>
      <c r="D186" s="16" t="s">
        <v>256</v>
      </c>
      <c r="E186" s="30">
        <v>25.0</v>
      </c>
      <c r="F186" s="16">
        <v>0.0</v>
      </c>
      <c r="G186" s="16">
        <v>60.0</v>
      </c>
      <c r="H186" s="31" t="s">
        <v>71</v>
      </c>
    </row>
    <row r="187" ht="15.75" customHeight="1">
      <c r="B187" s="16" t="s">
        <v>40</v>
      </c>
      <c r="C187" s="16" t="s">
        <v>77</v>
      </c>
      <c r="D187" s="16" t="s">
        <v>257</v>
      </c>
      <c r="E187" s="30">
        <v>28.0</v>
      </c>
      <c r="F187" s="16">
        <v>5.0</v>
      </c>
      <c r="G187" s="16">
        <v>480.0</v>
      </c>
      <c r="H187" s="31" t="s">
        <v>71</v>
      </c>
    </row>
    <row r="188" ht="15.75" customHeight="1">
      <c r="B188" s="16" t="s">
        <v>40</v>
      </c>
      <c r="C188" s="16" t="s">
        <v>72</v>
      </c>
      <c r="D188" s="16" t="s">
        <v>258</v>
      </c>
      <c r="E188" s="30">
        <v>45.0</v>
      </c>
      <c r="F188" s="16">
        <v>4.9</v>
      </c>
      <c r="G188" s="16">
        <v>1500.0</v>
      </c>
      <c r="H188" s="31" t="s">
        <v>71</v>
      </c>
    </row>
    <row r="189" ht="15.75" customHeight="1">
      <c r="B189" s="16" t="s">
        <v>40</v>
      </c>
      <c r="C189" s="16" t="s">
        <v>72</v>
      </c>
      <c r="D189" s="16" t="s">
        <v>259</v>
      </c>
      <c r="E189" s="30">
        <v>45.0</v>
      </c>
      <c r="F189" s="16">
        <v>4.6</v>
      </c>
      <c r="G189" s="16">
        <v>450.0</v>
      </c>
      <c r="H189" s="31" t="s">
        <v>71</v>
      </c>
    </row>
    <row r="190" ht="15.75" customHeight="1">
      <c r="B190" s="16" t="s">
        <v>40</v>
      </c>
      <c r="C190" s="16" t="s">
        <v>72</v>
      </c>
      <c r="D190" s="16" t="s">
        <v>260</v>
      </c>
      <c r="E190" s="30">
        <v>45.0</v>
      </c>
      <c r="F190" s="16">
        <v>4.9</v>
      </c>
      <c r="G190" s="16">
        <v>1500.0</v>
      </c>
      <c r="H190" s="31" t="s">
        <v>71</v>
      </c>
    </row>
    <row r="191" ht="15.75" customHeight="1">
      <c r="B191" s="16" t="s">
        <v>40</v>
      </c>
      <c r="C191" s="16" t="s">
        <v>77</v>
      </c>
      <c r="D191" s="16" t="s">
        <v>261</v>
      </c>
      <c r="E191" s="30">
        <v>45.0</v>
      </c>
      <c r="F191" s="16">
        <v>0.0</v>
      </c>
      <c r="G191" s="16">
        <v>200.0</v>
      </c>
      <c r="H191" s="31" t="s">
        <v>71</v>
      </c>
    </row>
    <row r="192" ht="15.75" customHeight="1">
      <c r="B192" s="16" t="s">
        <v>40</v>
      </c>
      <c r="C192" s="16" t="s">
        <v>72</v>
      </c>
      <c r="D192" s="16" t="s">
        <v>262</v>
      </c>
      <c r="E192" s="30">
        <v>50.0</v>
      </c>
      <c r="F192" s="16">
        <v>3.7</v>
      </c>
      <c r="G192" s="16">
        <v>350.0</v>
      </c>
      <c r="H192" s="31" t="s">
        <v>71</v>
      </c>
    </row>
    <row r="193" ht="15.75" customHeight="1">
      <c r="B193" s="16" t="s">
        <v>40</v>
      </c>
      <c r="C193" s="16" t="s">
        <v>72</v>
      </c>
      <c r="D193" s="16" t="s">
        <v>263</v>
      </c>
      <c r="E193" s="30">
        <v>50.0</v>
      </c>
      <c r="F193" s="16">
        <v>0.0</v>
      </c>
      <c r="G193" s="16">
        <v>200.0</v>
      </c>
      <c r="H193" s="31" t="s">
        <v>71</v>
      </c>
    </row>
    <row r="194" ht="15.75" customHeight="1">
      <c r="B194" s="16" t="s">
        <v>40</v>
      </c>
      <c r="C194" s="16" t="s">
        <v>77</v>
      </c>
      <c r="D194" s="16" t="s">
        <v>264</v>
      </c>
      <c r="E194" s="30">
        <v>50.0</v>
      </c>
      <c r="F194" s="16">
        <v>5.0</v>
      </c>
      <c r="G194" s="16">
        <v>220.0</v>
      </c>
      <c r="H194" s="31" t="s">
        <v>71</v>
      </c>
    </row>
    <row r="195" ht="15.75" customHeight="1">
      <c r="B195" s="16" t="s">
        <v>40</v>
      </c>
      <c r="C195" s="16" t="s">
        <v>142</v>
      </c>
      <c r="D195" s="16" t="s">
        <v>265</v>
      </c>
      <c r="E195" s="30">
        <v>50.0</v>
      </c>
      <c r="F195" s="16">
        <v>4.9</v>
      </c>
      <c r="G195" s="16">
        <v>600.0</v>
      </c>
      <c r="H195" s="31" t="s">
        <v>71</v>
      </c>
    </row>
    <row r="196" ht="15.75" customHeight="1">
      <c r="B196" s="16" t="s">
        <v>40</v>
      </c>
      <c r="C196" s="16" t="s">
        <v>72</v>
      </c>
      <c r="D196" s="16" t="s">
        <v>266</v>
      </c>
      <c r="E196" s="30">
        <v>55.0</v>
      </c>
      <c r="F196" s="16">
        <v>0.0</v>
      </c>
      <c r="G196" s="16">
        <v>80.0</v>
      </c>
      <c r="H196" s="31" t="s">
        <v>71</v>
      </c>
    </row>
    <row r="197" ht="15.75" customHeight="1">
      <c r="B197" s="16" t="s">
        <v>40</v>
      </c>
      <c r="C197" s="16" t="s">
        <v>72</v>
      </c>
      <c r="D197" s="16" t="s">
        <v>267</v>
      </c>
      <c r="E197" s="30">
        <v>60.0</v>
      </c>
      <c r="F197" s="16">
        <v>5.0</v>
      </c>
      <c r="G197" s="16">
        <v>220.0</v>
      </c>
      <c r="H197" s="31" t="s">
        <v>71</v>
      </c>
    </row>
    <row r="198" ht="15.75" customHeight="1">
      <c r="B198" s="16" t="s">
        <v>40</v>
      </c>
      <c r="C198" s="16" t="s">
        <v>72</v>
      </c>
      <c r="D198" s="16" t="s">
        <v>268</v>
      </c>
      <c r="E198" s="30">
        <v>65.0</v>
      </c>
      <c r="F198" s="16">
        <v>0.0</v>
      </c>
      <c r="G198" s="16">
        <v>350.0</v>
      </c>
      <c r="H198" s="31" t="s">
        <v>71</v>
      </c>
    </row>
    <row r="199" ht="15.75" customHeight="1">
      <c r="B199" s="16" t="s">
        <v>40</v>
      </c>
      <c r="C199" s="16" t="s">
        <v>77</v>
      </c>
      <c r="D199" s="16" t="s">
        <v>269</v>
      </c>
      <c r="E199" s="30">
        <v>65.0</v>
      </c>
      <c r="F199" s="16">
        <v>4.4</v>
      </c>
      <c r="G199" s="16">
        <v>350.0</v>
      </c>
      <c r="H199" s="31" t="s">
        <v>71</v>
      </c>
    </row>
    <row r="200" ht="15.75" customHeight="1">
      <c r="B200" s="16" t="s">
        <v>40</v>
      </c>
      <c r="C200" s="16" t="s">
        <v>142</v>
      </c>
      <c r="D200" s="16" t="s">
        <v>270</v>
      </c>
      <c r="E200" s="30">
        <v>72.5</v>
      </c>
      <c r="F200" s="16">
        <v>0.0</v>
      </c>
      <c r="G200" s="16">
        <v>200.0</v>
      </c>
      <c r="H200" s="31" t="s">
        <v>71</v>
      </c>
    </row>
    <row r="201" ht="15.75" customHeight="1">
      <c r="B201" s="16" t="s">
        <v>40</v>
      </c>
      <c r="C201" s="16" t="s">
        <v>72</v>
      </c>
      <c r="D201" s="16" t="s">
        <v>271</v>
      </c>
      <c r="E201" s="30">
        <v>75.0</v>
      </c>
      <c r="F201" s="16">
        <v>5.0</v>
      </c>
      <c r="G201" s="16">
        <v>1000.0</v>
      </c>
      <c r="H201" s="31" t="s">
        <v>71</v>
      </c>
    </row>
    <row r="202" ht="15.75" customHeight="1">
      <c r="B202" s="16" t="s">
        <v>40</v>
      </c>
      <c r="C202" s="16" t="s">
        <v>72</v>
      </c>
      <c r="D202" s="16" t="s">
        <v>272</v>
      </c>
      <c r="E202" s="30">
        <v>75.0</v>
      </c>
      <c r="F202" s="16">
        <v>0.0</v>
      </c>
      <c r="G202" s="16">
        <v>250.0</v>
      </c>
      <c r="H202" s="31" t="s">
        <v>71</v>
      </c>
    </row>
    <row r="203" ht="15.75" customHeight="1">
      <c r="B203" s="16" t="s">
        <v>40</v>
      </c>
      <c r="C203" s="16" t="s">
        <v>72</v>
      </c>
      <c r="D203" s="16" t="s">
        <v>273</v>
      </c>
      <c r="E203" s="30">
        <v>75.0</v>
      </c>
      <c r="F203" s="16">
        <v>4.9</v>
      </c>
      <c r="G203" s="16">
        <v>250.0</v>
      </c>
      <c r="H203" s="31" t="s">
        <v>71</v>
      </c>
    </row>
    <row r="204" ht="15.75" customHeight="1">
      <c r="B204" s="16" t="s">
        <v>40</v>
      </c>
      <c r="C204" s="16" t="s">
        <v>72</v>
      </c>
      <c r="D204" s="16" t="s">
        <v>274</v>
      </c>
      <c r="E204" s="30">
        <v>75.0</v>
      </c>
      <c r="F204" s="16">
        <v>4.8</v>
      </c>
      <c r="G204" s="16">
        <v>150.0</v>
      </c>
      <c r="H204" s="31" t="s">
        <v>71</v>
      </c>
    </row>
    <row r="205" ht="15.75" customHeight="1">
      <c r="B205" s="16" t="s">
        <v>40</v>
      </c>
      <c r="C205" s="16" t="s">
        <v>77</v>
      </c>
      <c r="D205" s="16" t="s">
        <v>275</v>
      </c>
      <c r="E205" s="30">
        <v>75.0</v>
      </c>
      <c r="F205" s="16">
        <v>0.0</v>
      </c>
      <c r="G205" s="16">
        <v>350.0</v>
      </c>
      <c r="H205" s="31" t="s">
        <v>71</v>
      </c>
    </row>
    <row r="206" ht="15.75" customHeight="1">
      <c r="B206" s="16" t="s">
        <v>40</v>
      </c>
      <c r="C206" s="16" t="s">
        <v>72</v>
      </c>
      <c r="D206" s="16" t="s">
        <v>276</v>
      </c>
      <c r="E206" s="30">
        <v>80.0</v>
      </c>
      <c r="F206" s="16">
        <v>4.6</v>
      </c>
      <c r="G206" s="16">
        <v>300.0</v>
      </c>
      <c r="H206" s="31" t="s">
        <v>71</v>
      </c>
    </row>
    <row r="207" ht="15.75" customHeight="1">
      <c r="B207" s="16" t="s">
        <v>40</v>
      </c>
      <c r="C207" s="16" t="s">
        <v>72</v>
      </c>
      <c r="D207" s="16" t="s">
        <v>277</v>
      </c>
      <c r="E207" s="30">
        <v>80.0</v>
      </c>
      <c r="F207" s="16">
        <v>0.0</v>
      </c>
      <c r="G207" s="16">
        <v>600.0</v>
      </c>
      <c r="H207" s="31" t="s">
        <v>71</v>
      </c>
    </row>
    <row r="208" ht="15.75" customHeight="1">
      <c r="B208" s="16" t="s">
        <v>40</v>
      </c>
      <c r="C208" s="16" t="s">
        <v>72</v>
      </c>
      <c r="D208" s="16" t="s">
        <v>278</v>
      </c>
      <c r="E208" s="30">
        <v>80.0</v>
      </c>
      <c r="F208" s="16">
        <v>0.0</v>
      </c>
      <c r="G208" s="16">
        <v>500.0</v>
      </c>
      <c r="H208" s="31" t="s">
        <v>71</v>
      </c>
    </row>
    <row r="209" ht="15.75" customHeight="1">
      <c r="B209" s="16" t="s">
        <v>40</v>
      </c>
      <c r="C209" s="16" t="s">
        <v>72</v>
      </c>
      <c r="D209" s="16" t="s">
        <v>279</v>
      </c>
      <c r="E209" s="30">
        <v>90.0</v>
      </c>
      <c r="F209" s="16">
        <v>0.0</v>
      </c>
      <c r="G209" s="16">
        <v>300.0</v>
      </c>
      <c r="H209" s="31" t="s">
        <v>71</v>
      </c>
    </row>
    <row r="210" ht="15.75" customHeight="1">
      <c r="B210" s="16" t="s">
        <v>40</v>
      </c>
      <c r="C210" s="16" t="s">
        <v>72</v>
      </c>
      <c r="D210" s="16" t="s">
        <v>280</v>
      </c>
      <c r="E210" s="30">
        <v>90.0</v>
      </c>
      <c r="F210" s="16">
        <v>0.0</v>
      </c>
      <c r="G210" s="16">
        <v>400.0</v>
      </c>
      <c r="H210" s="31" t="s">
        <v>71</v>
      </c>
    </row>
    <row r="211" ht="15.75" customHeight="1">
      <c r="B211" s="16" t="s">
        <v>40</v>
      </c>
      <c r="C211" s="16" t="s">
        <v>72</v>
      </c>
      <c r="D211" s="16" t="s">
        <v>281</v>
      </c>
      <c r="E211" s="30">
        <v>100.0</v>
      </c>
      <c r="F211" s="16">
        <v>0.0</v>
      </c>
      <c r="G211" s="16">
        <v>25.0</v>
      </c>
      <c r="H211" s="31" t="s">
        <v>71</v>
      </c>
    </row>
    <row r="212" ht="15.75" customHeight="1">
      <c r="B212" s="16" t="s">
        <v>40</v>
      </c>
      <c r="C212" s="16" t="s">
        <v>77</v>
      </c>
      <c r="D212" s="16" t="s">
        <v>282</v>
      </c>
      <c r="E212" s="30">
        <v>100.0</v>
      </c>
      <c r="F212" s="16">
        <v>0.0</v>
      </c>
      <c r="G212" s="16">
        <v>350.0</v>
      </c>
      <c r="H212" s="31" t="s">
        <v>71</v>
      </c>
    </row>
    <row r="213" ht="15.75" customHeight="1">
      <c r="B213" s="16" t="s">
        <v>42</v>
      </c>
      <c r="C213" s="16" t="s">
        <v>72</v>
      </c>
      <c r="D213" s="16" t="s">
        <v>283</v>
      </c>
      <c r="E213" s="30">
        <v>12.5</v>
      </c>
      <c r="F213" s="16">
        <v>4.4</v>
      </c>
      <c r="G213" s="16">
        <v>500.0</v>
      </c>
      <c r="H213" s="31" t="s">
        <v>71</v>
      </c>
    </row>
    <row r="214" ht="15.75" customHeight="1">
      <c r="B214" s="16" t="s">
        <v>42</v>
      </c>
      <c r="C214" s="16" t="s">
        <v>77</v>
      </c>
      <c r="D214" s="16" t="s">
        <v>284</v>
      </c>
      <c r="E214" s="30">
        <v>24.0</v>
      </c>
      <c r="F214" s="16">
        <v>0.0</v>
      </c>
      <c r="G214" s="16">
        <v>220.0</v>
      </c>
      <c r="H214" s="31" t="s">
        <v>71</v>
      </c>
    </row>
    <row r="215" ht="15.75" customHeight="1">
      <c r="B215" s="16" t="s">
        <v>42</v>
      </c>
      <c r="C215" s="16" t="s">
        <v>142</v>
      </c>
      <c r="D215" s="16" t="s">
        <v>285</v>
      </c>
      <c r="E215" s="30">
        <v>25.0</v>
      </c>
      <c r="F215" s="16">
        <v>0.0</v>
      </c>
      <c r="G215" s="16">
        <v>75.0</v>
      </c>
      <c r="H215" s="31" t="s">
        <v>71</v>
      </c>
    </row>
    <row r="216" ht="15.75" customHeight="1">
      <c r="B216" s="16" t="s">
        <v>42</v>
      </c>
      <c r="C216" s="16" t="s">
        <v>142</v>
      </c>
      <c r="D216" s="16" t="s">
        <v>286</v>
      </c>
      <c r="E216" s="30">
        <v>30.0</v>
      </c>
      <c r="F216" s="16">
        <v>0.0</v>
      </c>
      <c r="G216" s="16">
        <v>100.0</v>
      </c>
      <c r="H216" s="31" t="s">
        <v>71</v>
      </c>
    </row>
    <row r="217" ht="15.75" customHeight="1">
      <c r="B217" s="16" t="s">
        <v>42</v>
      </c>
      <c r="C217" s="16" t="s">
        <v>77</v>
      </c>
      <c r="D217" s="16" t="s">
        <v>287</v>
      </c>
      <c r="E217" s="30">
        <v>35.0</v>
      </c>
      <c r="F217" s="16">
        <v>0.0</v>
      </c>
      <c r="G217" s="16">
        <v>120.0</v>
      </c>
      <c r="H217" s="31" t="s">
        <v>71</v>
      </c>
    </row>
    <row r="218" ht="15.75" customHeight="1">
      <c r="B218" s="16" t="s">
        <v>42</v>
      </c>
      <c r="C218" s="16" t="s">
        <v>142</v>
      </c>
      <c r="D218" s="16" t="s">
        <v>288</v>
      </c>
      <c r="E218" s="30">
        <v>35.0</v>
      </c>
      <c r="F218" s="16">
        <v>0.0</v>
      </c>
      <c r="G218" s="16">
        <v>100.0</v>
      </c>
      <c r="H218" s="31" t="s">
        <v>71</v>
      </c>
    </row>
    <row r="219" ht="15.75" customHeight="1">
      <c r="B219" s="16" t="s">
        <v>42</v>
      </c>
      <c r="C219" s="16" t="s">
        <v>72</v>
      </c>
      <c r="D219" s="16" t="s">
        <v>289</v>
      </c>
      <c r="E219" s="30">
        <v>38.0</v>
      </c>
      <c r="F219" s="16">
        <v>5.0</v>
      </c>
      <c r="G219" s="16">
        <v>400.0</v>
      </c>
      <c r="H219" s="31" t="s">
        <v>71</v>
      </c>
    </row>
    <row r="220" ht="15.75" customHeight="1">
      <c r="B220" s="16" t="s">
        <v>42</v>
      </c>
      <c r="C220" s="16" t="s">
        <v>72</v>
      </c>
      <c r="D220" s="16" t="s">
        <v>290</v>
      </c>
      <c r="E220" s="30">
        <v>40.0</v>
      </c>
      <c r="F220" s="16">
        <v>4.8</v>
      </c>
      <c r="G220" s="16">
        <v>500.0</v>
      </c>
      <c r="H220" s="31" t="s">
        <v>71</v>
      </c>
    </row>
    <row r="221" ht="15.75" customHeight="1">
      <c r="B221" s="16" t="s">
        <v>42</v>
      </c>
      <c r="C221" s="16" t="s">
        <v>77</v>
      </c>
      <c r="D221" s="16" t="s">
        <v>291</v>
      </c>
      <c r="E221" s="30">
        <v>40.0</v>
      </c>
      <c r="F221" s="16">
        <v>4.9</v>
      </c>
      <c r="G221" s="16">
        <v>300.0</v>
      </c>
      <c r="H221" s="31" t="s">
        <v>71</v>
      </c>
    </row>
    <row r="222" ht="15.75" customHeight="1">
      <c r="B222" s="16" t="s">
        <v>42</v>
      </c>
      <c r="C222" s="16" t="s">
        <v>142</v>
      </c>
      <c r="D222" s="16" t="s">
        <v>292</v>
      </c>
      <c r="E222" s="30">
        <v>45.0</v>
      </c>
      <c r="F222" s="16">
        <v>5.0</v>
      </c>
      <c r="G222" s="16">
        <v>150.0</v>
      </c>
      <c r="H222" s="31" t="s">
        <v>71</v>
      </c>
    </row>
    <row r="223" ht="15.75" customHeight="1">
      <c r="B223" s="16" t="s">
        <v>42</v>
      </c>
      <c r="C223" s="16" t="s">
        <v>77</v>
      </c>
      <c r="D223" s="16" t="s">
        <v>293</v>
      </c>
      <c r="E223" s="30">
        <v>49.0</v>
      </c>
      <c r="F223" s="16">
        <v>5.0</v>
      </c>
      <c r="G223" s="16">
        <v>100.0</v>
      </c>
      <c r="H223" s="31" t="s">
        <v>71</v>
      </c>
    </row>
    <row r="224" ht="15.75" customHeight="1">
      <c r="B224" s="16" t="s">
        <v>42</v>
      </c>
      <c r="C224" s="16" t="s">
        <v>77</v>
      </c>
      <c r="D224" s="16" t="s">
        <v>294</v>
      </c>
      <c r="E224" s="30">
        <v>49.0</v>
      </c>
      <c r="F224" s="16">
        <v>3.4</v>
      </c>
      <c r="G224" s="16">
        <v>200.0</v>
      </c>
      <c r="H224" s="31" t="s">
        <v>71</v>
      </c>
    </row>
    <row r="225" ht="15.75" customHeight="1">
      <c r="B225" s="16" t="s">
        <v>42</v>
      </c>
      <c r="C225" s="16" t="s">
        <v>72</v>
      </c>
      <c r="D225" s="16" t="s">
        <v>295</v>
      </c>
      <c r="E225" s="30">
        <v>49.9</v>
      </c>
      <c r="F225" s="16">
        <v>4.9</v>
      </c>
      <c r="G225" s="16">
        <v>300.0</v>
      </c>
      <c r="H225" s="31" t="s">
        <v>71</v>
      </c>
    </row>
    <row r="226" ht="15.75" customHeight="1">
      <c r="B226" s="16" t="s">
        <v>42</v>
      </c>
      <c r="C226" s="16" t="s">
        <v>72</v>
      </c>
      <c r="D226" s="16" t="s">
        <v>296</v>
      </c>
      <c r="E226" s="30">
        <v>50.0</v>
      </c>
      <c r="F226" s="16">
        <v>4.3</v>
      </c>
      <c r="G226" s="16">
        <v>700.0</v>
      </c>
      <c r="H226" s="31" t="s">
        <v>71</v>
      </c>
    </row>
    <row r="227" ht="15.75" customHeight="1">
      <c r="B227" s="16" t="s">
        <v>42</v>
      </c>
      <c r="C227" s="16" t="s">
        <v>72</v>
      </c>
      <c r="D227" s="16" t="s">
        <v>297</v>
      </c>
      <c r="E227" s="30">
        <v>50.0</v>
      </c>
      <c r="F227" s="16">
        <v>0.0</v>
      </c>
      <c r="G227" s="16">
        <v>220.0</v>
      </c>
      <c r="H227" s="31" t="s">
        <v>71</v>
      </c>
    </row>
    <row r="228" ht="15.75" customHeight="1">
      <c r="B228" s="16" t="s">
        <v>42</v>
      </c>
      <c r="C228" s="16" t="s">
        <v>72</v>
      </c>
      <c r="D228" s="16" t="s">
        <v>298</v>
      </c>
      <c r="E228" s="30">
        <v>50.0</v>
      </c>
      <c r="F228" s="16">
        <v>4.7</v>
      </c>
      <c r="G228" s="16">
        <v>500.0</v>
      </c>
      <c r="H228" s="31" t="s">
        <v>71</v>
      </c>
    </row>
    <row r="229" ht="15.75" customHeight="1">
      <c r="B229" s="16" t="s">
        <v>42</v>
      </c>
      <c r="C229" s="16" t="s">
        <v>72</v>
      </c>
      <c r="D229" s="16" t="s">
        <v>299</v>
      </c>
      <c r="E229" s="30">
        <v>50.0</v>
      </c>
      <c r="F229" s="16">
        <v>0.0</v>
      </c>
      <c r="G229" s="16">
        <v>200.0</v>
      </c>
      <c r="H229" s="31" t="s">
        <v>71</v>
      </c>
    </row>
    <row r="230" ht="15.75" customHeight="1">
      <c r="B230" s="16" t="s">
        <v>42</v>
      </c>
      <c r="C230" s="16" t="s">
        <v>72</v>
      </c>
      <c r="D230" s="16" t="s">
        <v>300</v>
      </c>
      <c r="E230" s="30">
        <v>55.0</v>
      </c>
      <c r="F230" s="16">
        <v>4.9</v>
      </c>
      <c r="G230" s="16">
        <v>500.0</v>
      </c>
      <c r="H230" s="31" t="s">
        <v>71</v>
      </c>
    </row>
    <row r="231" ht="15.75" customHeight="1">
      <c r="B231" s="16" t="s">
        <v>42</v>
      </c>
      <c r="C231" s="16" t="s">
        <v>72</v>
      </c>
      <c r="D231" s="16" t="s">
        <v>301</v>
      </c>
      <c r="E231" s="30">
        <v>55.0</v>
      </c>
      <c r="F231" s="16">
        <v>5.0</v>
      </c>
      <c r="G231" s="16">
        <v>350.0</v>
      </c>
      <c r="H231" s="31" t="s">
        <v>71</v>
      </c>
    </row>
    <row r="232" ht="15.75" customHeight="1">
      <c r="B232" s="16" t="s">
        <v>42</v>
      </c>
      <c r="C232" s="16" t="s">
        <v>72</v>
      </c>
      <c r="D232" s="16" t="s">
        <v>302</v>
      </c>
      <c r="E232" s="30">
        <v>60.0</v>
      </c>
      <c r="F232" s="16">
        <v>4.9</v>
      </c>
      <c r="G232" s="16">
        <v>600.0</v>
      </c>
      <c r="H232" s="31" t="s">
        <v>71</v>
      </c>
    </row>
    <row r="233" ht="15.75" customHeight="1">
      <c r="B233" s="16" t="s">
        <v>42</v>
      </c>
      <c r="C233" s="16" t="s">
        <v>72</v>
      </c>
      <c r="D233" s="16" t="s">
        <v>303</v>
      </c>
      <c r="E233" s="30">
        <v>60.0</v>
      </c>
      <c r="F233" s="16">
        <v>5.0</v>
      </c>
      <c r="G233" s="16">
        <v>250.0</v>
      </c>
      <c r="H233" s="31" t="s">
        <v>71</v>
      </c>
    </row>
    <row r="234" ht="15.75" customHeight="1">
      <c r="B234" s="16" t="s">
        <v>42</v>
      </c>
      <c r="C234" s="16" t="s">
        <v>72</v>
      </c>
      <c r="D234" s="16" t="s">
        <v>304</v>
      </c>
      <c r="E234" s="30">
        <v>60.0</v>
      </c>
      <c r="F234" s="16">
        <v>5.0</v>
      </c>
      <c r="G234" s="16">
        <v>200.0</v>
      </c>
      <c r="H234" s="31" t="s">
        <v>71</v>
      </c>
    </row>
    <row r="235" ht="15.75" customHeight="1">
      <c r="B235" s="16" t="s">
        <v>42</v>
      </c>
      <c r="C235" s="16" t="s">
        <v>72</v>
      </c>
      <c r="D235" s="16" t="s">
        <v>303</v>
      </c>
      <c r="E235" s="30">
        <v>60.0</v>
      </c>
      <c r="F235" s="16">
        <v>5.0</v>
      </c>
      <c r="G235" s="16">
        <v>250.0</v>
      </c>
      <c r="H235" s="31" t="s">
        <v>71</v>
      </c>
    </row>
    <row r="236" ht="15.75" customHeight="1">
      <c r="B236" s="16" t="s">
        <v>42</v>
      </c>
      <c r="C236" s="16" t="s">
        <v>72</v>
      </c>
      <c r="D236" s="16" t="s">
        <v>305</v>
      </c>
      <c r="E236" s="30">
        <v>60.0</v>
      </c>
      <c r="F236" s="16">
        <v>5.0</v>
      </c>
      <c r="G236" s="16">
        <v>600.0</v>
      </c>
      <c r="H236" s="31" t="s">
        <v>71</v>
      </c>
    </row>
    <row r="237" ht="15.75" customHeight="1">
      <c r="B237" s="16" t="s">
        <v>42</v>
      </c>
      <c r="C237" s="16" t="s">
        <v>72</v>
      </c>
      <c r="D237" s="16" t="s">
        <v>306</v>
      </c>
      <c r="E237" s="30">
        <v>60.0</v>
      </c>
      <c r="F237" s="16">
        <v>0.0</v>
      </c>
      <c r="G237" s="16">
        <v>400.0</v>
      </c>
      <c r="H237" s="31" t="s">
        <v>71</v>
      </c>
    </row>
    <row r="238" ht="15.75" customHeight="1">
      <c r="B238" s="16" t="s">
        <v>42</v>
      </c>
      <c r="C238" s="16" t="s">
        <v>72</v>
      </c>
      <c r="D238" s="16" t="s">
        <v>307</v>
      </c>
      <c r="E238" s="30">
        <v>65.0</v>
      </c>
      <c r="F238" s="16">
        <v>4.9</v>
      </c>
      <c r="G238" s="16">
        <v>600.0</v>
      </c>
      <c r="H238" s="31" t="s">
        <v>71</v>
      </c>
    </row>
    <row r="239" ht="15.75" customHeight="1">
      <c r="B239" s="16" t="s">
        <v>42</v>
      </c>
      <c r="C239" s="16" t="s">
        <v>72</v>
      </c>
      <c r="D239" s="16" t="s">
        <v>308</v>
      </c>
      <c r="E239" s="30">
        <v>65.0</v>
      </c>
      <c r="F239" s="16">
        <v>4.9</v>
      </c>
      <c r="G239" s="16">
        <v>300.0</v>
      </c>
      <c r="H239" s="31" t="s">
        <v>71</v>
      </c>
    </row>
    <row r="240" ht="15.75" customHeight="1">
      <c r="B240" s="16" t="s">
        <v>42</v>
      </c>
      <c r="C240" s="16" t="s">
        <v>72</v>
      </c>
      <c r="D240" s="16" t="s">
        <v>309</v>
      </c>
      <c r="E240" s="30">
        <v>65.0</v>
      </c>
      <c r="F240" s="16">
        <v>0.0</v>
      </c>
      <c r="G240" s="16">
        <v>1500.0</v>
      </c>
      <c r="H240" s="31" t="s">
        <v>71</v>
      </c>
    </row>
    <row r="241" ht="15.75" customHeight="1">
      <c r="B241" s="16" t="s">
        <v>42</v>
      </c>
      <c r="C241" s="16" t="s">
        <v>72</v>
      </c>
      <c r="D241" s="16" t="s">
        <v>310</v>
      </c>
      <c r="E241" s="30">
        <v>70.0</v>
      </c>
      <c r="F241" s="16">
        <v>5.0</v>
      </c>
      <c r="G241" s="16">
        <v>350.0</v>
      </c>
      <c r="H241" s="31" t="s">
        <v>71</v>
      </c>
    </row>
    <row r="242" ht="15.75" customHeight="1">
      <c r="B242" s="16" t="s">
        <v>42</v>
      </c>
      <c r="C242" s="16" t="s">
        <v>72</v>
      </c>
      <c r="D242" s="16" t="s">
        <v>311</v>
      </c>
      <c r="E242" s="30">
        <v>75.0</v>
      </c>
      <c r="F242" s="16">
        <v>5.0</v>
      </c>
      <c r="G242" s="16">
        <v>250.0</v>
      </c>
      <c r="H242" s="31" t="s">
        <v>71</v>
      </c>
    </row>
    <row r="243" ht="15.75" customHeight="1">
      <c r="B243" s="16" t="s">
        <v>42</v>
      </c>
      <c r="C243" s="16" t="s">
        <v>72</v>
      </c>
      <c r="D243" s="16" t="s">
        <v>312</v>
      </c>
      <c r="E243" s="30">
        <v>75.0</v>
      </c>
      <c r="F243" s="16">
        <v>0.0</v>
      </c>
      <c r="G243" s="16">
        <v>250.0</v>
      </c>
      <c r="H243" s="31" t="s">
        <v>71</v>
      </c>
    </row>
    <row r="244" ht="15.75" customHeight="1">
      <c r="B244" s="16" t="s">
        <v>42</v>
      </c>
      <c r="C244" s="16" t="s">
        <v>72</v>
      </c>
      <c r="D244" s="16" t="s">
        <v>313</v>
      </c>
      <c r="E244" s="30">
        <v>78.0</v>
      </c>
      <c r="F244" s="16">
        <v>4.9</v>
      </c>
      <c r="G244" s="16">
        <v>60.0</v>
      </c>
      <c r="H244" s="31" t="s">
        <v>71</v>
      </c>
    </row>
    <row r="245" ht="15.75" customHeight="1">
      <c r="B245" s="16" t="s">
        <v>42</v>
      </c>
      <c r="C245" s="16" t="s">
        <v>72</v>
      </c>
      <c r="D245" s="16" t="s">
        <v>314</v>
      </c>
      <c r="E245" s="30">
        <v>80.0</v>
      </c>
      <c r="F245" s="16">
        <v>4.7</v>
      </c>
      <c r="G245" s="16">
        <v>200.0</v>
      </c>
      <c r="H245" s="31" t="s">
        <v>71</v>
      </c>
    </row>
    <row r="246" ht="15.75" customHeight="1">
      <c r="B246" s="16" t="s">
        <v>42</v>
      </c>
      <c r="C246" s="16" t="s">
        <v>72</v>
      </c>
      <c r="D246" s="16" t="s">
        <v>315</v>
      </c>
      <c r="E246" s="30">
        <v>80.0</v>
      </c>
      <c r="F246" s="16">
        <v>5.0</v>
      </c>
      <c r="G246" s="16">
        <v>250.0</v>
      </c>
      <c r="H246" s="31" t="s">
        <v>71</v>
      </c>
    </row>
    <row r="247" ht="15.75" customHeight="1">
      <c r="B247" s="16" t="s">
        <v>42</v>
      </c>
      <c r="C247" s="16" t="s">
        <v>72</v>
      </c>
      <c r="D247" s="16" t="s">
        <v>316</v>
      </c>
      <c r="E247" s="30">
        <v>80.0</v>
      </c>
      <c r="F247" s="16">
        <v>0.0</v>
      </c>
      <c r="G247" s="16">
        <v>700.0</v>
      </c>
      <c r="H247" s="31" t="s">
        <v>71</v>
      </c>
    </row>
    <row r="248" ht="15.75" customHeight="1">
      <c r="B248" s="16" t="s">
        <v>42</v>
      </c>
      <c r="C248" s="16" t="s">
        <v>77</v>
      </c>
      <c r="D248" s="16" t="s">
        <v>317</v>
      </c>
      <c r="E248" s="30">
        <v>80.0</v>
      </c>
      <c r="F248" s="16">
        <v>5.0</v>
      </c>
      <c r="G248" s="16">
        <v>100.0</v>
      </c>
      <c r="H248" s="31" t="s">
        <v>71</v>
      </c>
    </row>
    <row r="249" ht="15.75" customHeight="1">
      <c r="B249" s="16" t="s">
        <v>42</v>
      </c>
      <c r="C249" s="16" t="s">
        <v>72</v>
      </c>
      <c r="D249" s="16" t="s">
        <v>318</v>
      </c>
      <c r="E249" s="30">
        <v>82.0</v>
      </c>
      <c r="F249" s="16">
        <v>4.9</v>
      </c>
      <c r="G249" s="16">
        <v>250.0</v>
      </c>
      <c r="H249" s="31" t="s">
        <v>71</v>
      </c>
    </row>
    <row r="250" ht="15.75" customHeight="1">
      <c r="B250" s="16" t="s">
        <v>42</v>
      </c>
      <c r="C250" s="16" t="s">
        <v>72</v>
      </c>
      <c r="D250" s="16" t="s">
        <v>319</v>
      </c>
      <c r="E250" s="30">
        <v>85.0</v>
      </c>
      <c r="F250" s="16">
        <v>5.0</v>
      </c>
      <c r="G250" s="16">
        <v>450.0</v>
      </c>
      <c r="H250" s="31" t="s">
        <v>71</v>
      </c>
    </row>
    <row r="251" ht="15.75" customHeight="1">
      <c r="B251" s="16" t="s">
        <v>42</v>
      </c>
      <c r="C251" s="16" t="s">
        <v>77</v>
      </c>
      <c r="D251" s="16" t="s">
        <v>320</v>
      </c>
      <c r="E251" s="30">
        <v>90.0</v>
      </c>
      <c r="F251" s="16">
        <v>4.9</v>
      </c>
      <c r="G251" s="16">
        <v>300.0</v>
      </c>
      <c r="H251" s="31" t="s">
        <v>71</v>
      </c>
    </row>
    <row r="252" ht="15.75" customHeight="1">
      <c r="B252" s="16" t="s">
        <v>42</v>
      </c>
      <c r="C252" s="16" t="s">
        <v>72</v>
      </c>
      <c r="D252" s="16" t="s">
        <v>321</v>
      </c>
      <c r="E252" s="30">
        <v>95.0</v>
      </c>
      <c r="F252" s="16">
        <v>5.0</v>
      </c>
      <c r="G252" s="16">
        <v>400.0</v>
      </c>
      <c r="H252" s="31" t="s">
        <v>71</v>
      </c>
    </row>
    <row r="253" ht="15.75" customHeight="1">
      <c r="B253" s="16" t="s">
        <v>42</v>
      </c>
      <c r="C253" s="16" t="s">
        <v>72</v>
      </c>
      <c r="D253" s="16" t="s">
        <v>322</v>
      </c>
      <c r="E253" s="30">
        <v>97.0</v>
      </c>
      <c r="F253" s="16">
        <v>5.0</v>
      </c>
      <c r="G253" s="16">
        <v>450.0</v>
      </c>
      <c r="H253" s="31" t="s">
        <v>71</v>
      </c>
    </row>
    <row r="254" ht="15.75" customHeight="1">
      <c r="B254" s="16" t="s">
        <v>42</v>
      </c>
      <c r="C254" s="16" t="s">
        <v>77</v>
      </c>
      <c r="D254" s="16" t="s">
        <v>323</v>
      </c>
      <c r="E254" s="30">
        <v>115.0</v>
      </c>
      <c r="F254" s="16">
        <v>4.9</v>
      </c>
      <c r="G254" s="16">
        <v>230.0</v>
      </c>
      <c r="H254" s="31" t="s">
        <v>71</v>
      </c>
    </row>
    <row r="255" ht="15.75" customHeight="1">
      <c r="B255" s="16" t="s">
        <v>42</v>
      </c>
      <c r="C255" s="16" t="s">
        <v>72</v>
      </c>
      <c r="D255" s="16" t="s">
        <v>324</v>
      </c>
      <c r="E255" s="30">
        <v>120.0</v>
      </c>
      <c r="F255" s="16">
        <v>0.0</v>
      </c>
      <c r="G255" s="16">
        <v>250.0</v>
      </c>
      <c r="H255" s="31" t="s">
        <v>71</v>
      </c>
    </row>
    <row r="256" ht="15.75" customHeight="1">
      <c r="B256" s="16" t="s">
        <v>42</v>
      </c>
      <c r="C256" s="16" t="s">
        <v>77</v>
      </c>
      <c r="D256" s="16" t="s">
        <v>325</v>
      </c>
      <c r="E256" s="30">
        <v>120.0</v>
      </c>
      <c r="F256" s="16">
        <v>0.0</v>
      </c>
      <c r="G256" s="16">
        <v>120.0</v>
      </c>
      <c r="H256" s="31" t="s">
        <v>71</v>
      </c>
    </row>
    <row r="257" ht="15.75" customHeight="1">
      <c r="B257" s="16" t="s">
        <v>42</v>
      </c>
      <c r="C257" s="16" t="s">
        <v>72</v>
      </c>
      <c r="D257" s="16" t="s">
        <v>326</v>
      </c>
      <c r="E257" s="30">
        <v>125.0</v>
      </c>
      <c r="F257" s="16">
        <v>5.0</v>
      </c>
      <c r="G257" s="16">
        <v>350.0</v>
      </c>
      <c r="H257" s="31" t="s">
        <v>71</v>
      </c>
    </row>
    <row r="258" ht="15.75" customHeight="1">
      <c r="B258" s="16" t="s">
        <v>43</v>
      </c>
      <c r="C258" s="16" t="s">
        <v>72</v>
      </c>
      <c r="D258" s="16" t="s">
        <v>327</v>
      </c>
      <c r="E258" s="30">
        <v>20.0</v>
      </c>
      <c r="F258" s="16">
        <v>0.0</v>
      </c>
      <c r="G258" s="16">
        <v>80.0</v>
      </c>
      <c r="H258" s="31" t="s">
        <v>71</v>
      </c>
    </row>
    <row r="259" ht="15.75" customHeight="1">
      <c r="B259" s="16" t="s">
        <v>43</v>
      </c>
      <c r="C259" s="16" t="s">
        <v>142</v>
      </c>
      <c r="D259" s="16" t="s">
        <v>328</v>
      </c>
      <c r="E259" s="30">
        <v>20.0</v>
      </c>
      <c r="F259" s="16">
        <v>5.0</v>
      </c>
      <c r="G259" s="16">
        <v>200.0</v>
      </c>
      <c r="H259" s="31" t="s">
        <v>71</v>
      </c>
    </row>
    <row r="260" ht="15.75" customHeight="1">
      <c r="B260" s="16" t="s">
        <v>43</v>
      </c>
      <c r="C260" s="16" t="s">
        <v>77</v>
      </c>
      <c r="D260" s="16" t="s">
        <v>329</v>
      </c>
      <c r="E260" s="30">
        <v>29.0</v>
      </c>
      <c r="F260" s="16">
        <v>0.0</v>
      </c>
      <c r="G260" s="16">
        <v>400.0</v>
      </c>
      <c r="H260" s="31" t="s">
        <v>71</v>
      </c>
    </row>
    <row r="261" ht="15.75" customHeight="1">
      <c r="B261" s="16" t="s">
        <v>43</v>
      </c>
      <c r="C261" s="16" t="s">
        <v>142</v>
      </c>
      <c r="D261" s="16" t="s">
        <v>330</v>
      </c>
      <c r="E261" s="30">
        <v>30.0</v>
      </c>
      <c r="F261" s="16">
        <v>0.0</v>
      </c>
      <c r="G261" s="16">
        <v>100.0</v>
      </c>
      <c r="H261" s="31" t="s">
        <v>71</v>
      </c>
    </row>
    <row r="262" ht="15.75" customHeight="1">
      <c r="B262" s="16" t="s">
        <v>43</v>
      </c>
      <c r="C262" s="16" t="s">
        <v>72</v>
      </c>
      <c r="D262" s="16" t="s">
        <v>331</v>
      </c>
      <c r="E262" s="30">
        <v>50.0</v>
      </c>
      <c r="F262" s="16">
        <v>5.0</v>
      </c>
      <c r="G262" s="16">
        <v>500.0</v>
      </c>
      <c r="H262" s="31" t="s">
        <v>71</v>
      </c>
    </row>
    <row r="263" ht="15.75" customHeight="1">
      <c r="B263" s="16" t="s">
        <v>43</v>
      </c>
      <c r="C263" s="16" t="s">
        <v>72</v>
      </c>
      <c r="D263" s="16" t="s">
        <v>332</v>
      </c>
      <c r="E263" s="30">
        <v>50.0</v>
      </c>
      <c r="F263" s="16">
        <v>4.3</v>
      </c>
      <c r="G263" s="16">
        <v>250.0</v>
      </c>
      <c r="H263" s="31" t="s">
        <v>71</v>
      </c>
    </row>
    <row r="264" ht="15.75" customHeight="1">
      <c r="B264" s="16" t="s">
        <v>43</v>
      </c>
      <c r="C264" s="16" t="s">
        <v>72</v>
      </c>
      <c r="D264" s="16" t="s">
        <v>333</v>
      </c>
      <c r="E264" s="30">
        <v>60.0</v>
      </c>
      <c r="F264" s="16">
        <v>0.0</v>
      </c>
      <c r="G264" s="16">
        <v>300.0</v>
      </c>
      <c r="H264" s="31" t="s">
        <v>71</v>
      </c>
    </row>
    <row r="265" ht="15.75" customHeight="1">
      <c r="B265" s="16" t="s">
        <v>43</v>
      </c>
      <c r="C265" s="16" t="s">
        <v>72</v>
      </c>
      <c r="D265" s="16" t="s">
        <v>334</v>
      </c>
      <c r="E265" s="30">
        <v>65.0</v>
      </c>
      <c r="F265" s="16">
        <v>4.8</v>
      </c>
      <c r="G265" s="16">
        <v>1200.0</v>
      </c>
      <c r="H265" s="31" t="s">
        <v>71</v>
      </c>
    </row>
    <row r="266" ht="15.75" customHeight="1">
      <c r="B266" s="16" t="s">
        <v>43</v>
      </c>
      <c r="C266" s="16" t="s">
        <v>72</v>
      </c>
      <c r="D266" s="16" t="s">
        <v>335</v>
      </c>
      <c r="E266" s="30">
        <v>68.0</v>
      </c>
      <c r="F266" s="16">
        <v>4.9</v>
      </c>
      <c r="G266" s="16">
        <v>300.0</v>
      </c>
      <c r="H266" s="31" t="s">
        <v>71</v>
      </c>
    </row>
    <row r="267" ht="15.75" customHeight="1">
      <c r="B267" s="16" t="s">
        <v>43</v>
      </c>
      <c r="C267" s="16" t="s">
        <v>72</v>
      </c>
      <c r="D267" s="16" t="s">
        <v>336</v>
      </c>
      <c r="E267" s="30">
        <v>69.0</v>
      </c>
      <c r="F267" s="16">
        <v>0.0</v>
      </c>
      <c r="G267" s="16">
        <v>250.0</v>
      </c>
      <c r="H267" s="31" t="s">
        <v>71</v>
      </c>
    </row>
    <row r="268" ht="15.75" customHeight="1">
      <c r="B268" s="16" t="s">
        <v>43</v>
      </c>
      <c r="C268" s="16" t="s">
        <v>77</v>
      </c>
      <c r="D268" s="16" t="s">
        <v>337</v>
      </c>
      <c r="E268" s="30">
        <v>70.0</v>
      </c>
      <c r="F268" s="16">
        <v>0.0</v>
      </c>
      <c r="G268" s="16">
        <v>400.0</v>
      </c>
      <c r="H268" s="31" t="s">
        <v>71</v>
      </c>
    </row>
    <row r="269" ht="15.75" customHeight="1">
      <c r="B269" s="16" t="s">
        <v>43</v>
      </c>
      <c r="C269" s="16" t="s">
        <v>72</v>
      </c>
      <c r="D269" s="16" t="s">
        <v>338</v>
      </c>
      <c r="E269" s="30">
        <v>70.0</v>
      </c>
      <c r="F269" s="16">
        <v>5.0</v>
      </c>
      <c r="G269" s="16">
        <v>150.0</v>
      </c>
      <c r="H269" s="31" t="s">
        <v>71</v>
      </c>
    </row>
    <row r="270" ht="15.75" customHeight="1">
      <c r="B270" s="16" t="s">
        <v>43</v>
      </c>
      <c r="C270" s="16" t="s">
        <v>72</v>
      </c>
      <c r="D270" s="16" t="s">
        <v>339</v>
      </c>
      <c r="E270" s="30">
        <v>72.0</v>
      </c>
      <c r="F270" s="16">
        <v>5.0</v>
      </c>
      <c r="G270" s="16">
        <v>300.0</v>
      </c>
      <c r="H270" s="31" t="s">
        <v>71</v>
      </c>
    </row>
    <row r="271" ht="15.75" customHeight="1">
      <c r="B271" s="16" t="s">
        <v>43</v>
      </c>
      <c r="C271" s="16" t="s">
        <v>77</v>
      </c>
      <c r="D271" s="16" t="s">
        <v>340</v>
      </c>
      <c r="E271" s="30">
        <v>75.0</v>
      </c>
      <c r="F271" s="16">
        <v>0.0</v>
      </c>
      <c r="G271" s="16">
        <v>200.0</v>
      </c>
      <c r="H271" s="31" t="s">
        <v>71</v>
      </c>
    </row>
    <row r="272" ht="15.75" customHeight="1">
      <c r="B272" s="16" t="s">
        <v>43</v>
      </c>
      <c r="C272" s="16" t="s">
        <v>77</v>
      </c>
      <c r="D272" s="16" t="s">
        <v>341</v>
      </c>
      <c r="E272" s="30">
        <v>78.0</v>
      </c>
      <c r="F272" s="16">
        <v>4.8</v>
      </c>
      <c r="G272" s="16">
        <v>300.0</v>
      </c>
      <c r="H272" s="31" t="s">
        <v>71</v>
      </c>
    </row>
    <row r="273" ht="15.75" customHeight="1">
      <c r="B273" s="16" t="s">
        <v>43</v>
      </c>
      <c r="C273" s="16" t="s">
        <v>77</v>
      </c>
      <c r="D273" s="16" t="s">
        <v>342</v>
      </c>
      <c r="E273" s="30">
        <v>78.0</v>
      </c>
      <c r="F273" s="16">
        <v>4.6</v>
      </c>
      <c r="G273" s="16">
        <v>120.0</v>
      </c>
      <c r="H273" s="31" t="s">
        <v>71</v>
      </c>
    </row>
    <row r="274" ht="15.75" customHeight="1">
      <c r="B274" s="16" t="s">
        <v>43</v>
      </c>
      <c r="C274" s="16" t="s">
        <v>72</v>
      </c>
      <c r="D274" s="16" t="s">
        <v>343</v>
      </c>
      <c r="E274" s="30">
        <v>80.0</v>
      </c>
      <c r="F274" s="16">
        <v>5.0</v>
      </c>
      <c r="G274" s="16">
        <v>500.0</v>
      </c>
      <c r="H274" s="31" t="s">
        <v>71</v>
      </c>
    </row>
    <row r="275" ht="15.75" customHeight="1">
      <c r="B275" s="16" t="s">
        <v>43</v>
      </c>
      <c r="C275" s="16" t="s">
        <v>72</v>
      </c>
      <c r="D275" s="16" t="s">
        <v>344</v>
      </c>
      <c r="E275" s="30">
        <v>80.0</v>
      </c>
      <c r="F275" s="16">
        <v>4.9</v>
      </c>
      <c r="G275" s="16">
        <v>300.0</v>
      </c>
      <c r="H275" s="31" t="s">
        <v>71</v>
      </c>
    </row>
    <row r="276" ht="15.75" customHeight="1">
      <c r="B276" s="16" t="s">
        <v>43</v>
      </c>
      <c r="C276" s="16" t="s">
        <v>72</v>
      </c>
      <c r="D276" s="16" t="s">
        <v>345</v>
      </c>
      <c r="E276" s="30">
        <v>80.0</v>
      </c>
      <c r="F276" s="16">
        <v>0.0</v>
      </c>
      <c r="G276" s="16">
        <v>140.0</v>
      </c>
      <c r="H276" s="31" t="s">
        <v>71</v>
      </c>
    </row>
    <row r="277" ht="15.75" customHeight="1">
      <c r="B277" s="16" t="s">
        <v>43</v>
      </c>
      <c r="C277" s="16" t="s">
        <v>77</v>
      </c>
      <c r="D277" s="16" t="s">
        <v>346</v>
      </c>
      <c r="E277" s="30">
        <v>80.0</v>
      </c>
      <c r="F277" s="16">
        <v>0.0</v>
      </c>
      <c r="G277" s="16">
        <v>120.0</v>
      </c>
      <c r="H277" s="31" t="s">
        <v>71</v>
      </c>
    </row>
    <row r="278" ht="15.75" customHeight="1">
      <c r="B278" s="16" t="s">
        <v>43</v>
      </c>
      <c r="C278" s="16" t="s">
        <v>72</v>
      </c>
      <c r="D278" s="16" t="s">
        <v>110</v>
      </c>
      <c r="E278" s="30">
        <v>85.0</v>
      </c>
      <c r="F278" s="16">
        <v>4.4</v>
      </c>
      <c r="G278" s="16">
        <v>300.0</v>
      </c>
      <c r="H278" s="31" t="s">
        <v>71</v>
      </c>
    </row>
    <row r="279" ht="15.75" customHeight="1">
      <c r="B279" s="16" t="s">
        <v>43</v>
      </c>
      <c r="C279" s="16" t="s">
        <v>72</v>
      </c>
      <c r="D279" s="16" t="s">
        <v>347</v>
      </c>
      <c r="E279" s="30">
        <v>90.0</v>
      </c>
      <c r="F279" s="16">
        <v>0.0</v>
      </c>
      <c r="G279" s="16">
        <v>500.0</v>
      </c>
      <c r="H279" s="31" t="s">
        <v>71</v>
      </c>
    </row>
    <row r="280" ht="15.75" customHeight="1">
      <c r="B280" s="16" t="s">
        <v>43</v>
      </c>
      <c r="C280" s="16" t="s">
        <v>142</v>
      </c>
      <c r="D280" s="16" t="s">
        <v>348</v>
      </c>
      <c r="E280" s="30">
        <v>90.0</v>
      </c>
      <c r="F280" s="16">
        <v>0.0</v>
      </c>
      <c r="G280" s="16">
        <v>200.0</v>
      </c>
      <c r="H280" s="31" t="s">
        <v>71</v>
      </c>
    </row>
    <row r="281" ht="15.75" customHeight="1">
      <c r="B281" s="16" t="s">
        <v>43</v>
      </c>
      <c r="C281" s="16" t="s">
        <v>72</v>
      </c>
      <c r="D281" s="16" t="s">
        <v>349</v>
      </c>
      <c r="E281" s="30">
        <v>103.0</v>
      </c>
      <c r="F281" s="16">
        <v>5.0</v>
      </c>
      <c r="G281" s="16">
        <v>500.0</v>
      </c>
      <c r="H281" s="31" t="s">
        <v>71</v>
      </c>
    </row>
    <row r="282" ht="15.75" customHeight="1">
      <c r="B282" s="16" t="s">
        <v>43</v>
      </c>
      <c r="C282" s="16" t="s">
        <v>77</v>
      </c>
      <c r="D282" s="16" t="s">
        <v>350</v>
      </c>
      <c r="E282" s="30">
        <v>113.0</v>
      </c>
      <c r="F282" s="16">
        <v>4.9</v>
      </c>
      <c r="G282" s="16">
        <v>300.0</v>
      </c>
      <c r="H282" s="31" t="s">
        <v>71</v>
      </c>
    </row>
    <row r="283" ht="15.75" customHeight="1">
      <c r="B283" s="16" t="s">
        <v>43</v>
      </c>
      <c r="C283" s="16" t="s">
        <v>72</v>
      </c>
      <c r="D283" s="16" t="s">
        <v>351</v>
      </c>
      <c r="E283" s="30">
        <v>125.0</v>
      </c>
      <c r="F283" s="16">
        <v>0.0</v>
      </c>
      <c r="G283" s="16">
        <v>120.0</v>
      </c>
      <c r="H283" s="31" t="s">
        <v>71</v>
      </c>
    </row>
    <row r="284" ht="15.75" customHeight="1">
      <c r="B284" s="16" t="s">
        <v>44</v>
      </c>
      <c r="C284" s="16" t="s">
        <v>142</v>
      </c>
      <c r="D284" s="16" t="s">
        <v>352</v>
      </c>
      <c r="E284" s="30">
        <v>18.0</v>
      </c>
      <c r="F284" s="16">
        <v>0.0</v>
      </c>
      <c r="G284" s="16">
        <v>100.0</v>
      </c>
      <c r="H284" s="31" t="s">
        <v>71</v>
      </c>
    </row>
    <row r="285" ht="15.75" customHeight="1">
      <c r="B285" s="16" t="s">
        <v>44</v>
      </c>
      <c r="C285" s="16" t="s">
        <v>142</v>
      </c>
      <c r="D285" s="16" t="s">
        <v>353</v>
      </c>
      <c r="E285" s="30">
        <v>20.0</v>
      </c>
      <c r="F285" s="16">
        <v>5.0</v>
      </c>
      <c r="G285" s="16">
        <v>120.0</v>
      </c>
      <c r="H285" s="31" t="s">
        <v>71</v>
      </c>
    </row>
    <row r="286" ht="15.75" customHeight="1">
      <c r="B286" s="16" t="s">
        <v>44</v>
      </c>
      <c r="C286" s="16" t="s">
        <v>77</v>
      </c>
      <c r="D286" s="16" t="s">
        <v>354</v>
      </c>
      <c r="E286" s="30">
        <v>25.0</v>
      </c>
      <c r="F286" s="16">
        <v>0.0</v>
      </c>
      <c r="G286" s="16">
        <v>120.0</v>
      </c>
      <c r="H286" s="31" t="s">
        <v>71</v>
      </c>
    </row>
    <row r="287" ht="15.75" customHeight="1">
      <c r="B287" s="16" t="s">
        <v>44</v>
      </c>
      <c r="C287" s="16" t="s">
        <v>142</v>
      </c>
      <c r="D287" s="16" t="s">
        <v>355</v>
      </c>
      <c r="E287" s="30">
        <v>25.0</v>
      </c>
      <c r="F287" s="16">
        <v>0.0</v>
      </c>
      <c r="G287" s="16">
        <v>200.0</v>
      </c>
      <c r="H287" s="31" t="s">
        <v>71</v>
      </c>
    </row>
    <row r="288" ht="15.75" customHeight="1">
      <c r="B288" s="16" t="s">
        <v>44</v>
      </c>
      <c r="C288" s="16" t="s">
        <v>72</v>
      </c>
      <c r="D288" s="16" t="s">
        <v>356</v>
      </c>
      <c r="E288" s="30">
        <v>25.0</v>
      </c>
      <c r="F288" s="16">
        <v>0.0</v>
      </c>
      <c r="G288" s="16">
        <v>100.0</v>
      </c>
      <c r="H288" s="31" t="s">
        <v>71</v>
      </c>
    </row>
    <row r="289" ht="15.75" customHeight="1">
      <c r="B289" s="16" t="s">
        <v>44</v>
      </c>
      <c r="C289" s="16" t="s">
        <v>77</v>
      </c>
      <c r="D289" s="16" t="s">
        <v>357</v>
      </c>
      <c r="E289" s="30">
        <v>30.0</v>
      </c>
      <c r="F289" s="16">
        <v>4.9</v>
      </c>
      <c r="G289" s="16">
        <v>160.0</v>
      </c>
      <c r="H289" s="31" t="s">
        <v>71</v>
      </c>
    </row>
    <row r="290" ht="15.75" customHeight="1">
      <c r="B290" s="16" t="s">
        <v>44</v>
      </c>
      <c r="C290" s="16" t="s">
        <v>142</v>
      </c>
      <c r="D290" s="16" t="s">
        <v>358</v>
      </c>
      <c r="E290" s="30">
        <v>30.0</v>
      </c>
      <c r="F290" s="16">
        <v>0.0</v>
      </c>
      <c r="G290" s="16">
        <v>70.0</v>
      </c>
      <c r="H290" s="31" t="s">
        <v>71</v>
      </c>
    </row>
    <row r="291" ht="15.75" customHeight="1">
      <c r="B291" s="16" t="s">
        <v>44</v>
      </c>
      <c r="C291" s="16" t="s">
        <v>72</v>
      </c>
      <c r="D291" s="16" t="s">
        <v>359</v>
      </c>
      <c r="E291" s="30">
        <v>40.0</v>
      </c>
      <c r="F291" s="16">
        <v>5.0</v>
      </c>
      <c r="G291" s="16">
        <v>200.0</v>
      </c>
      <c r="H291" s="31" t="s">
        <v>71</v>
      </c>
    </row>
    <row r="292" ht="15.75" customHeight="1">
      <c r="B292" s="16" t="s">
        <v>44</v>
      </c>
      <c r="C292" s="16" t="s">
        <v>142</v>
      </c>
      <c r="D292" s="16" t="s">
        <v>360</v>
      </c>
      <c r="E292" s="30">
        <v>40.0</v>
      </c>
      <c r="F292" s="16">
        <v>0.0</v>
      </c>
      <c r="G292" s="16">
        <v>120.0</v>
      </c>
      <c r="H292" s="31" t="s">
        <v>71</v>
      </c>
    </row>
    <row r="293" ht="15.75" customHeight="1">
      <c r="B293" s="16" t="s">
        <v>44</v>
      </c>
      <c r="C293" s="16" t="s">
        <v>142</v>
      </c>
      <c r="D293" s="16" t="s">
        <v>361</v>
      </c>
      <c r="E293" s="30">
        <v>40.0</v>
      </c>
      <c r="F293" s="16">
        <v>0.0</v>
      </c>
      <c r="G293" s="16">
        <v>150.0</v>
      </c>
      <c r="H293" s="31" t="s">
        <v>71</v>
      </c>
      <c r="I293" s="16"/>
      <c r="J293" s="16"/>
      <c r="K293" s="16"/>
      <c r="L293" s="16"/>
    </row>
    <row r="294" ht="15.75" customHeight="1">
      <c r="B294" s="16" t="s">
        <v>44</v>
      </c>
      <c r="C294" s="16" t="s">
        <v>142</v>
      </c>
      <c r="D294" s="16" t="s">
        <v>362</v>
      </c>
      <c r="E294" s="30">
        <v>45.0</v>
      </c>
      <c r="F294" s="16">
        <v>0.0</v>
      </c>
      <c r="G294" s="16">
        <v>150.0</v>
      </c>
      <c r="H294" s="31" t="s">
        <v>71</v>
      </c>
      <c r="I294" s="16"/>
      <c r="J294" s="16"/>
      <c r="K294" s="16"/>
      <c r="L294" s="16"/>
    </row>
    <row r="295" ht="15.75" customHeight="1">
      <c r="B295" s="16" t="s">
        <v>44</v>
      </c>
      <c r="C295" s="16" t="s">
        <v>142</v>
      </c>
      <c r="D295" s="16" t="s">
        <v>363</v>
      </c>
      <c r="E295" s="30">
        <v>45.0</v>
      </c>
      <c r="F295" s="16">
        <v>0.0</v>
      </c>
      <c r="G295" s="16">
        <v>100.0</v>
      </c>
      <c r="H295" s="31" t="s">
        <v>71</v>
      </c>
      <c r="I295" s="16"/>
      <c r="J295" s="16"/>
      <c r="K295" s="16"/>
      <c r="L295" s="16"/>
    </row>
    <row r="296" ht="15.75" customHeight="1">
      <c r="B296" s="16" t="s">
        <v>44</v>
      </c>
      <c r="C296" s="16" t="s">
        <v>77</v>
      </c>
      <c r="D296" s="16" t="s">
        <v>364</v>
      </c>
      <c r="E296" s="30">
        <v>46.0</v>
      </c>
      <c r="F296" s="16">
        <v>5.0</v>
      </c>
      <c r="G296" s="16">
        <v>150.0</v>
      </c>
      <c r="H296" s="31" t="s">
        <v>71</v>
      </c>
      <c r="I296" s="16"/>
      <c r="J296" s="16"/>
      <c r="K296" s="16"/>
      <c r="L296" s="16"/>
    </row>
    <row r="297" ht="15.75" customHeight="1">
      <c r="B297" s="16" t="s">
        <v>44</v>
      </c>
      <c r="C297" s="16" t="s">
        <v>77</v>
      </c>
      <c r="D297" s="16" t="s">
        <v>365</v>
      </c>
      <c r="E297" s="30">
        <v>49.0</v>
      </c>
      <c r="F297" s="16">
        <v>5.0</v>
      </c>
      <c r="G297" s="16">
        <v>100.0</v>
      </c>
      <c r="H297" s="31" t="s">
        <v>71</v>
      </c>
      <c r="I297" s="16"/>
      <c r="J297" s="16"/>
      <c r="K297" s="16"/>
      <c r="L297" s="16"/>
    </row>
    <row r="298" ht="15.75" customHeight="1">
      <c r="B298" s="16" t="s">
        <v>44</v>
      </c>
      <c r="C298" s="16" t="s">
        <v>72</v>
      </c>
      <c r="D298" s="16" t="s">
        <v>366</v>
      </c>
      <c r="E298" s="30">
        <v>50.0</v>
      </c>
      <c r="F298" s="16">
        <v>0.0</v>
      </c>
      <c r="G298" s="16">
        <v>100.0</v>
      </c>
      <c r="H298" s="31" t="s">
        <v>71</v>
      </c>
      <c r="I298" s="16"/>
      <c r="J298" s="16"/>
      <c r="K298" s="16"/>
      <c r="L298" s="16"/>
    </row>
    <row r="299" ht="15.75" customHeight="1">
      <c r="B299" s="16" t="s">
        <v>44</v>
      </c>
      <c r="C299" s="16" t="s">
        <v>72</v>
      </c>
      <c r="D299" s="16" t="s">
        <v>367</v>
      </c>
      <c r="E299" s="30">
        <v>50.0</v>
      </c>
      <c r="F299" s="16">
        <v>3.8</v>
      </c>
      <c r="G299" s="16">
        <v>150.0</v>
      </c>
      <c r="H299" s="31" t="s">
        <v>71</v>
      </c>
      <c r="I299" s="16"/>
      <c r="J299" s="16"/>
      <c r="K299" s="16"/>
      <c r="L299" s="16"/>
    </row>
    <row r="300" ht="15.75" customHeight="1">
      <c r="B300" s="16" t="s">
        <v>44</v>
      </c>
      <c r="C300" s="16" t="s">
        <v>72</v>
      </c>
      <c r="D300" s="16" t="s">
        <v>368</v>
      </c>
      <c r="E300" s="30">
        <v>50.0</v>
      </c>
      <c r="F300" s="16">
        <v>0.0</v>
      </c>
      <c r="G300" s="16">
        <v>300.0</v>
      </c>
      <c r="H300" s="31" t="s">
        <v>71</v>
      </c>
      <c r="I300" s="16"/>
      <c r="J300" s="16"/>
      <c r="K300" s="16"/>
      <c r="L300" s="16"/>
    </row>
    <row r="301" ht="15.75" customHeight="1">
      <c r="B301" s="16" t="s">
        <v>44</v>
      </c>
      <c r="C301" s="16" t="s">
        <v>77</v>
      </c>
      <c r="D301" s="16" t="s">
        <v>369</v>
      </c>
      <c r="E301" s="30">
        <v>50.0</v>
      </c>
      <c r="F301" s="16">
        <v>4.9</v>
      </c>
      <c r="G301" s="16">
        <v>200.0</v>
      </c>
      <c r="H301" s="31" t="s">
        <v>71</v>
      </c>
      <c r="I301" s="16"/>
      <c r="J301" s="16"/>
      <c r="K301" s="16"/>
      <c r="L301" s="16"/>
    </row>
    <row r="302" ht="15.75" customHeight="1">
      <c r="B302" s="16" t="s">
        <v>44</v>
      </c>
      <c r="C302" s="16" t="s">
        <v>142</v>
      </c>
      <c r="D302" s="16" t="s">
        <v>370</v>
      </c>
      <c r="E302" s="30">
        <v>50.0</v>
      </c>
      <c r="F302" s="16">
        <v>0.0</v>
      </c>
      <c r="G302" s="16">
        <v>60.0</v>
      </c>
      <c r="H302" s="31" t="s">
        <v>71</v>
      </c>
      <c r="I302" s="16"/>
      <c r="J302" s="16"/>
      <c r="K302" s="16"/>
      <c r="L302" s="16"/>
    </row>
    <row r="303" ht="15.75" customHeight="1">
      <c r="B303" s="16" t="s">
        <v>44</v>
      </c>
      <c r="C303" s="16" t="s">
        <v>72</v>
      </c>
      <c r="D303" s="16" t="s">
        <v>371</v>
      </c>
      <c r="E303" s="30">
        <v>50.0</v>
      </c>
      <c r="F303" s="16">
        <v>0.0</v>
      </c>
      <c r="G303" s="16">
        <v>200.0</v>
      </c>
      <c r="H303" s="31" t="s">
        <v>71</v>
      </c>
      <c r="I303" s="16"/>
      <c r="J303" s="16"/>
      <c r="K303" s="16"/>
      <c r="L303" s="16"/>
    </row>
    <row r="304" ht="15.75" customHeight="1">
      <c r="B304" s="16" t="s">
        <v>44</v>
      </c>
      <c r="C304" s="16" t="s">
        <v>72</v>
      </c>
      <c r="D304" s="16" t="s">
        <v>372</v>
      </c>
      <c r="E304" s="30">
        <v>55.0</v>
      </c>
      <c r="F304" s="16">
        <v>4.8</v>
      </c>
      <c r="G304" s="16">
        <v>250.0</v>
      </c>
      <c r="H304" s="31" t="s">
        <v>71</v>
      </c>
      <c r="I304" s="16"/>
      <c r="J304" s="16"/>
      <c r="K304" s="16"/>
      <c r="L304" s="16"/>
    </row>
    <row r="305" ht="15.75" customHeight="1">
      <c r="B305" s="16" t="s">
        <v>44</v>
      </c>
      <c r="C305" s="16" t="s">
        <v>77</v>
      </c>
      <c r="D305" s="16" t="s">
        <v>373</v>
      </c>
      <c r="E305" s="30">
        <v>55.0</v>
      </c>
      <c r="F305" s="16">
        <v>0.0</v>
      </c>
      <c r="G305" s="16">
        <v>50.0</v>
      </c>
      <c r="H305" s="31" t="s">
        <v>71</v>
      </c>
      <c r="I305" s="16"/>
      <c r="J305" s="16"/>
      <c r="K305" s="16"/>
      <c r="L305" s="16"/>
    </row>
    <row r="306" ht="15.75" customHeight="1">
      <c r="B306" s="16" t="s">
        <v>44</v>
      </c>
      <c r="C306" s="16" t="s">
        <v>72</v>
      </c>
      <c r="D306" s="16" t="s">
        <v>374</v>
      </c>
      <c r="E306" s="30">
        <v>60.0</v>
      </c>
      <c r="F306" s="16">
        <v>4.9</v>
      </c>
      <c r="G306" s="16">
        <v>500.0</v>
      </c>
      <c r="H306" s="31" t="s">
        <v>71</v>
      </c>
      <c r="I306" s="16"/>
      <c r="J306" s="16"/>
      <c r="K306" s="16"/>
      <c r="L306" s="16"/>
    </row>
    <row r="307" ht="15.75" customHeight="1">
      <c r="B307" s="16" t="s">
        <v>44</v>
      </c>
      <c r="C307" s="16" t="s">
        <v>77</v>
      </c>
      <c r="D307" s="16" t="s">
        <v>375</v>
      </c>
      <c r="E307" s="30">
        <v>60.0</v>
      </c>
      <c r="F307" s="16">
        <v>0.0</v>
      </c>
      <c r="G307" s="16">
        <v>200.0</v>
      </c>
      <c r="H307" s="31" t="s">
        <v>71</v>
      </c>
      <c r="I307" s="16"/>
      <c r="J307" s="16"/>
      <c r="K307" s="16"/>
      <c r="L307" s="16"/>
    </row>
    <row r="308" ht="15.75" customHeight="1">
      <c r="B308" s="16" t="s">
        <v>44</v>
      </c>
      <c r="C308" s="16" t="s">
        <v>77</v>
      </c>
      <c r="D308" s="16" t="s">
        <v>376</v>
      </c>
      <c r="E308" s="30">
        <v>60.0</v>
      </c>
      <c r="F308" s="16">
        <v>0.0</v>
      </c>
      <c r="G308" s="16">
        <v>180.0</v>
      </c>
      <c r="H308" s="31" t="s">
        <v>71</v>
      </c>
      <c r="I308" s="16"/>
      <c r="J308" s="16"/>
      <c r="K308" s="16"/>
      <c r="L308" s="16"/>
    </row>
    <row r="309" ht="15.75" customHeight="1">
      <c r="B309" s="16" t="s">
        <v>44</v>
      </c>
      <c r="C309" s="16" t="s">
        <v>72</v>
      </c>
      <c r="D309" s="16" t="s">
        <v>377</v>
      </c>
      <c r="E309" s="30">
        <v>65.0</v>
      </c>
      <c r="F309" s="16">
        <v>0.0</v>
      </c>
      <c r="G309" s="16">
        <v>200.0</v>
      </c>
      <c r="H309" s="31" t="s">
        <v>71</v>
      </c>
      <c r="I309" s="16"/>
      <c r="J309" s="16"/>
      <c r="K309" s="16"/>
      <c r="L309" s="16"/>
    </row>
    <row r="310" ht="15.75" customHeight="1">
      <c r="B310" s="16" t="s">
        <v>44</v>
      </c>
      <c r="C310" s="16" t="s">
        <v>77</v>
      </c>
      <c r="D310" s="16" t="s">
        <v>378</v>
      </c>
      <c r="E310" s="30">
        <v>65.0</v>
      </c>
      <c r="F310" s="16">
        <v>0.0</v>
      </c>
      <c r="G310" s="16">
        <v>90.0</v>
      </c>
      <c r="H310" s="31" t="s">
        <v>71</v>
      </c>
      <c r="I310" s="16"/>
      <c r="J310" s="16"/>
      <c r="K310" s="16"/>
      <c r="L310" s="16"/>
    </row>
    <row r="311" ht="15.75" customHeight="1">
      <c r="B311" s="16" t="s">
        <v>44</v>
      </c>
      <c r="C311" s="16" t="s">
        <v>77</v>
      </c>
      <c r="D311" s="16" t="s">
        <v>379</v>
      </c>
      <c r="E311" s="30">
        <v>65.0</v>
      </c>
      <c r="F311" s="16">
        <v>0.0</v>
      </c>
      <c r="G311" s="16">
        <v>50.0</v>
      </c>
      <c r="H311" s="31" t="s">
        <v>71</v>
      </c>
      <c r="I311" s="16"/>
      <c r="J311" s="16"/>
      <c r="K311" s="16"/>
      <c r="L311" s="16"/>
    </row>
    <row r="312" ht="15.75" customHeight="1">
      <c r="B312" s="16" t="s">
        <v>44</v>
      </c>
      <c r="C312" s="16" t="s">
        <v>77</v>
      </c>
      <c r="D312" s="16" t="s">
        <v>380</v>
      </c>
      <c r="E312" s="30">
        <v>65.0</v>
      </c>
      <c r="F312" s="16">
        <v>0.0</v>
      </c>
      <c r="G312" s="16">
        <v>45.0</v>
      </c>
      <c r="H312" s="31" t="s">
        <v>71</v>
      </c>
      <c r="I312" s="16"/>
      <c r="J312" s="16"/>
      <c r="K312" s="16"/>
      <c r="L312" s="16"/>
    </row>
    <row r="313" ht="15.75" customHeight="1">
      <c r="B313" s="16" t="s">
        <v>44</v>
      </c>
      <c r="C313" s="16" t="s">
        <v>77</v>
      </c>
      <c r="D313" s="16" t="s">
        <v>381</v>
      </c>
      <c r="E313" s="30">
        <v>65.0</v>
      </c>
      <c r="F313" s="16">
        <v>0.0</v>
      </c>
      <c r="G313" s="16">
        <v>300.0</v>
      </c>
      <c r="H313" s="31" t="s">
        <v>71</v>
      </c>
      <c r="I313" s="16"/>
      <c r="J313" s="16"/>
      <c r="K313" s="16"/>
      <c r="L313" s="16"/>
    </row>
    <row r="314" ht="15.75" customHeight="1">
      <c r="B314" s="16" t="s">
        <v>44</v>
      </c>
      <c r="C314" s="16" t="s">
        <v>77</v>
      </c>
      <c r="D314" s="16" t="s">
        <v>382</v>
      </c>
      <c r="E314" s="30">
        <v>67.0</v>
      </c>
      <c r="F314" s="16">
        <v>0.0</v>
      </c>
      <c r="G314" s="16">
        <v>200.0</v>
      </c>
      <c r="H314" s="31" t="s">
        <v>71</v>
      </c>
      <c r="I314" s="16"/>
      <c r="J314" s="16"/>
      <c r="K314" s="16"/>
      <c r="L314" s="16"/>
    </row>
    <row r="315" ht="15.75" customHeight="1">
      <c r="B315" s="16" t="s">
        <v>44</v>
      </c>
      <c r="C315" s="16" t="s">
        <v>72</v>
      </c>
      <c r="D315" s="16" t="s">
        <v>383</v>
      </c>
      <c r="E315" s="30">
        <v>70.0</v>
      </c>
      <c r="F315" s="16">
        <v>4.5</v>
      </c>
      <c r="G315" s="16">
        <v>450.0</v>
      </c>
      <c r="H315" s="31" t="s">
        <v>71</v>
      </c>
      <c r="I315" s="16"/>
      <c r="J315" s="16"/>
      <c r="K315" s="16"/>
      <c r="L315" s="16"/>
    </row>
    <row r="316" ht="15.75" customHeight="1">
      <c r="B316" s="16" t="s">
        <v>44</v>
      </c>
      <c r="C316" s="16" t="s">
        <v>72</v>
      </c>
      <c r="D316" s="16" t="s">
        <v>384</v>
      </c>
      <c r="E316" s="30">
        <v>70.0</v>
      </c>
      <c r="F316" s="16">
        <v>5.0</v>
      </c>
      <c r="G316" s="16">
        <v>120.0</v>
      </c>
      <c r="H316" s="31" t="s">
        <v>71</v>
      </c>
      <c r="I316" s="16"/>
      <c r="J316" s="16"/>
      <c r="K316" s="16"/>
      <c r="L316" s="16"/>
    </row>
    <row r="317" ht="15.75" customHeight="1">
      <c r="B317" s="16" t="s">
        <v>44</v>
      </c>
      <c r="C317" s="16" t="s">
        <v>72</v>
      </c>
      <c r="D317" s="16" t="s">
        <v>385</v>
      </c>
      <c r="E317" s="30">
        <v>70.0</v>
      </c>
      <c r="F317" s="16">
        <v>0.0</v>
      </c>
      <c r="G317" s="16">
        <v>180.0</v>
      </c>
      <c r="H317" s="31" t="s">
        <v>71</v>
      </c>
      <c r="I317" s="16"/>
      <c r="J317" s="16"/>
      <c r="K317" s="16"/>
      <c r="L317" s="16"/>
    </row>
    <row r="318" ht="15.75" customHeight="1">
      <c r="B318" s="16" t="s">
        <v>44</v>
      </c>
      <c r="C318" s="16" t="s">
        <v>77</v>
      </c>
      <c r="D318" s="16" t="s">
        <v>386</v>
      </c>
      <c r="E318" s="30">
        <v>70.0</v>
      </c>
      <c r="F318" s="16">
        <v>0.0</v>
      </c>
      <c r="G318" s="16">
        <v>60.0</v>
      </c>
      <c r="H318" s="31" t="s">
        <v>71</v>
      </c>
      <c r="I318" s="16"/>
      <c r="J318" s="16"/>
      <c r="K318" s="16"/>
      <c r="L318" s="16"/>
    </row>
    <row r="319" ht="15.75" customHeight="1">
      <c r="B319" s="16" t="s">
        <v>44</v>
      </c>
      <c r="C319" s="16" t="s">
        <v>77</v>
      </c>
      <c r="D319" s="16" t="s">
        <v>387</v>
      </c>
      <c r="E319" s="30">
        <v>70.0</v>
      </c>
      <c r="F319" s="16">
        <v>0.0</v>
      </c>
      <c r="G319" s="16">
        <v>150.0</v>
      </c>
      <c r="H319" s="31" t="s">
        <v>71</v>
      </c>
      <c r="I319" s="16"/>
      <c r="J319" s="16"/>
      <c r="K319" s="16"/>
      <c r="L319" s="16"/>
    </row>
    <row r="320" ht="15.75" customHeight="1">
      <c r="B320" s="16" t="s">
        <v>44</v>
      </c>
      <c r="C320" s="16" t="s">
        <v>77</v>
      </c>
      <c r="D320" s="16" t="s">
        <v>388</v>
      </c>
      <c r="E320" s="30">
        <v>70.0</v>
      </c>
      <c r="F320" s="16">
        <v>0.0</v>
      </c>
      <c r="G320" s="16">
        <v>150.0</v>
      </c>
      <c r="H320" s="31" t="s">
        <v>71</v>
      </c>
      <c r="I320" s="16"/>
      <c r="J320" s="16"/>
      <c r="K320" s="16"/>
      <c r="L320" s="16"/>
    </row>
    <row r="321" ht="15.75" customHeight="1">
      <c r="B321" s="16" t="s">
        <v>44</v>
      </c>
      <c r="C321" s="16" t="s">
        <v>77</v>
      </c>
      <c r="D321" s="16" t="s">
        <v>389</v>
      </c>
      <c r="E321" s="30">
        <v>70.0</v>
      </c>
      <c r="F321" s="16">
        <v>0.0</v>
      </c>
      <c r="G321" s="16">
        <v>150.0</v>
      </c>
      <c r="H321" s="31" t="s">
        <v>71</v>
      </c>
    </row>
    <row r="322" ht="15.75" customHeight="1">
      <c r="B322" s="16" t="s">
        <v>44</v>
      </c>
      <c r="C322" s="16" t="s">
        <v>77</v>
      </c>
      <c r="D322" s="16" t="s">
        <v>390</v>
      </c>
      <c r="E322" s="30">
        <v>75.0</v>
      </c>
      <c r="F322" s="16">
        <v>0.0</v>
      </c>
      <c r="G322" s="16">
        <v>150.0</v>
      </c>
      <c r="H322" s="31" t="s">
        <v>71</v>
      </c>
    </row>
    <row r="323" ht="15.75" customHeight="1">
      <c r="B323" s="16" t="s">
        <v>44</v>
      </c>
      <c r="C323" s="16" t="s">
        <v>77</v>
      </c>
      <c r="D323" s="16" t="s">
        <v>391</v>
      </c>
      <c r="E323" s="30">
        <v>75.0</v>
      </c>
      <c r="F323" s="16">
        <v>0.0</v>
      </c>
      <c r="G323" s="16">
        <v>130.0</v>
      </c>
      <c r="H323" s="31" t="s">
        <v>71</v>
      </c>
    </row>
    <row r="324" ht="15.75" customHeight="1">
      <c r="B324" s="16" t="s">
        <v>44</v>
      </c>
      <c r="C324" s="16" t="s">
        <v>142</v>
      </c>
      <c r="D324" s="16" t="s">
        <v>392</v>
      </c>
      <c r="E324" s="30">
        <v>75.0</v>
      </c>
      <c r="F324" s="16">
        <v>5.0</v>
      </c>
      <c r="G324" s="16">
        <v>100.0</v>
      </c>
      <c r="H324" s="31" t="s">
        <v>71</v>
      </c>
    </row>
    <row r="325" ht="15.75" customHeight="1">
      <c r="B325" s="16" t="s">
        <v>44</v>
      </c>
      <c r="C325" s="16" t="s">
        <v>72</v>
      </c>
      <c r="D325" s="16" t="s">
        <v>393</v>
      </c>
      <c r="E325" s="30">
        <v>80.0</v>
      </c>
      <c r="F325" s="16">
        <v>5.0</v>
      </c>
      <c r="G325" s="16">
        <v>200.0</v>
      </c>
      <c r="H325" s="31" t="s">
        <v>71</v>
      </c>
    </row>
    <row r="326" ht="15.75" customHeight="1">
      <c r="B326" s="16" t="s">
        <v>44</v>
      </c>
      <c r="C326" s="16" t="s">
        <v>142</v>
      </c>
      <c r="D326" s="16" t="s">
        <v>394</v>
      </c>
      <c r="E326" s="30">
        <v>80.0</v>
      </c>
      <c r="F326" s="16">
        <v>5.0</v>
      </c>
      <c r="G326" s="16">
        <v>150.0</v>
      </c>
      <c r="H326" s="31" t="s">
        <v>71</v>
      </c>
    </row>
    <row r="327" ht="15.75" customHeight="1">
      <c r="B327" s="16" t="s">
        <v>44</v>
      </c>
      <c r="C327" s="16" t="s">
        <v>72</v>
      </c>
      <c r="D327" s="16" t="s">
        <v>395</v>
      </c>
      <c r="E327" s="30">
        <v>85.0</v>
      </c>
      <c r="F327" s="16">
        <v>4.9</v>
      </c>
      <c r="G327" s="16">
        <v>100.0</v>
      </c>
      <c r="H327" s="31" t="s">
        <v>71</v>
      </c>
    </row>
    <row r="328" ht="15.75" customHeight="1">
      <c r="B328" s="16" t="s">
        <v>44</v>
      </c>
      <c r="C328" s="16" t="s">
        <v>142</v>
      </c>
      <c r="D328" s="16" t="s">
        <v>396</v>
      </c>
      <c r="E328" s="30">
        <v>85.0</v>
      </c>
      <c r="F328" s="16">
        <v>0.0</v>
      </c>
      <c r="G328" s="16">
        <v>70.0</v>
      </c>
      <c r="H328" s="31" t="s">
        <v>71</v>
      </c>
    </row>
    <row r="329" ht="15.75" customHeight="1">
      <c r="B329" s="16" t="s">
        <v>44</v>
      </c>
      <c r="C329" s="16" t="s">
        <v>142</v>
      </c>
      <c r="D329" s="16" t="s">
        <v>397</v>
      </c>
      <c r="E329" s="30">
        <v>85.0</v>
      </c>
      <c r="F329" s="16">
        <v>0.0</v>
      </c>
      <c r="G329" s="16">
        <v>100.0</v>
      </c>
      <c r="H329" s="31" t="s">
        <v>71</v>
      </c>
    </row>
    <row r="330" ht="15.75" customHeight="1">
      <c r="B330" s="16" t="s">
        <v>44</v>
      </c>
      <c r="C330" s="16" t="s">
        <v>142</v>
      </c>
      <c r="D330" s="16" t="s">
        <v>398</v>
      </c>
      <c r="E330" s="30">
        <v>85.0</v>
      </c>
      <c r="F330" s="16">
        <v>0.0</v>
      </c>
      <c r="G330" s="16">
        <v>150.0</v>
      </c>
      <c r="H330" s="31" t="s">
        <v>71</v>
      </c>
    </row>
    <row r="331" ht="15.75" customHeight="1">
      <c r="B331" s="16" t="s">
        <v>44</v>
      </c>
      <c r="C331" s="16" t="s">
        <v>72</v>
      </c>
      <c r="D331" s="16" t="s">
        <v>399</v>
      </c>
      <c r="E331" s="30">
        <v>90.0</v>
      </c>
      <c r="F331" s="16">
        <v>4.9</v>
      </c>
      <c r="G331" s="16">
        <v>500.0</v>
      </c>
      <c r="H331" s="31" t="s">
        <v>71</v>
      </c>
    </row>
    <row r="332" ht="15.75" customHeight="1">
      <c r="B332" s="16" t="s">
        <v>44</v>
      </c>
      <c r="C332" s="16" t="s">
        <v>72</v>
      </c>
      <c r="D332" s="16" t="s">
        <v>400</v>
      </c>
      <c r="E332" s="30">
        <v>90.0</v>
      </c>
      <c r="F332" s="16">
        <v>0.0</v>
      </c>
      <c r="G332" s="16">
        <v>250.0</v>
      </c>
      <c r="H332" s="31" t="s">
        <v>71</v>
      </c>
    </row>
    <row r="333" ht="15.75" customHeight="1">
      <c r="B333" s="16" t="s">
        <v>44</v>
      </c>
      <c r="C333" s="16" t="s">
        <v>142</v>
      </c>
      <c r="D333" s="16" t="s">
        <v>401</v>
      </c>
      <c r="E333" s="30">
        <v>90.0</v>
      </c>
      <c r="F333" s="16">
        <v>0.0</v>
      </c>
      <c r="G333" s="16">
        <v>800.0</v>
      </c>
      <c r="H333" s="31" t="s">
        <v>71</v>
      </c>
    </row>
    <row r="334" ht="15.75" customHeight="1">
      <c r="B334" s="16" t="s">
        <v>44</v>
      </c>
      <c r="C334" s="16" t="s">
        <v>142</v>
      </c>
      <c r="D334" s="16" t="s">
        <v>402</v>
      </c>
      <c r="E334" s="30">
        <v>90.0</v>
      </c>
      <c r="F334" s="16">
        <v>4.9</v>
      </c>
      <c r="G334" s="16">
        <v>100.0</v>
      </c>
      <c r="H334" s="31" t="s">
        <v>71</v>
      </c>
    </row>
    <row r="335" ht="15.75" customHeight="1">
      <c r="B335" s="16" t="s">
        <v>44</v>
      </c>
      <c r="C335" s="16" t="s">
        <v>142</v>
      </c>
      <c r="D335" s="16" t="s">
        <v>403</v>
      </c>
      <c r="E335" s="30">
        <v>90.0</v>
      </c>
      <c r="F335" s="16">
        <v>0.0</v>
      </c>
      <c r="G335" s="16">
        <v>140.0</v>
      </c>
      <c r="H335" s="31" t="s">
        <v>71</v>
      </c>
    </row>
    <row r="336" ht="15.75" customHeight="1">
      <c r="B336" s="16" t="s">
        <v>44</v>
      </c>
      <c r="C336" s="16" t="s">
        <v>77</v>
      </c>
      <c r="D336" s="16" t="s">
        <v>404</v>
      </c>
      <c r="E336" s="30">
        <v>95.0</v>
      </c>
      <c r="F336" s="16">
        <v>4.5</v>
      </c>
      <c r="G336" s="16">
        <v>500.0</v>
      </c>
      <c r="H336" s="31" t="s">
        <v>71</v>
      </c>
    </row>
    <row r="337" ht="15.75" customHeight="1">
      <c r="B337" s="16" t="s">
        <v>44</v>
      </c>
      <c r="C337" s="16" t="s">
        <v>77</v>
      </c>
      <c r="D337" s="16" t="s">
        <v>405</v>
      </c>
      <c r="E337" s="30">
        <v>95.0</v>
      </c>
      <c r="F337" s="16">
        <v>0.0</v>
      </c>
      <c r="G337" s="16">
        <v>50.0</v>
      </c>
      <c r="H337" s="31" t="s">
        <v>71</v>
      </c>
    </row>
    <row r="338" ht="15.75" customHeight="1">
      <c r="B338" s="16" t="s">
        <v>44</v>
      </c>
      <c r="C338" s="16" t="s">
        <v>72</v>
      </c>
      <c r="D338" s="16" t="s">
        <v>406</v>
      </c>
      <c r="E338" s="30">
        <v>96.0</v>
      </c>
      <c r="F338" s="16">
        <v>4.8</v>
      </c>
      <c r="G338" s="16">
        <v>250.0</v>
      </c>
      <c r="H338" s="31" t="s">
        <v>71</v>
      </c>
    </row>
    <row r="339" ht="15.75" customHeight="1">
      <c r="B339" s="16" t="s">
        <v>44</v>
      </c>
      <c r="C339" s="16" t="s">
        <v>77</v>
      </c>
      <c r="D339" s="16" t="s">
        <v>407</v>
      </c>
      <c r="E339" s="30">
        <v>100.0</v>
      </c>
      <c r="F339" s="16">
        <v>0.0</v>
      </c>
      <c r="G339" s="16">
        <v>120.0</v>
      </c>
      <c r="H339" s="31" t="s">
        <v>71</v>
      </c>
    </row>
    <row r="340" ht="15.75" customHeight="1">
      <c r="B340" s="16" t="s">
        <v>44</v>
      </c>
      <c r="C340" s="16" t="s">
        <v>142</v>
      </c>
      <c r="D340" s="16" t="s">
        <v>408</v>
      </c>
      <c r="E340" s="30">
        <v>100.0</v>
      </c>
      <c r="F340" s="16">
        <v>0.0</v>
      </c>
      <c r="G340" s="16">
        <v>150.0</v>
      </c>
      <c r="H340" s="31" t="s">
        <v>71</v>
      </c>
    </row>
    <row r="341" ht="15.75" customHeight="1">
      <c r="B341" s="16" t="s">
        <v>44</v>
      </c>
      <c r="C341" s="16" t="s">
        <v>142</v>
      </c>
      <c r="D341" s="16" t="s">
        <v>409</v>
      </c>
      <c r="E341" s="30">
        <v>100.0</v>
      </c>
      <c r="F341" s="16">
        <v>0.0</v>
      </c>
      <c r="G341" s="16">
        <v>150.0</v>
      </c>
      <c r="H341" s="31" t="s">
        <v>71</v>
      </c>
    </row>
    <row r="342" ht="15.75" customHeight="1">
      <c r="B342" s="16" t="s">
        <v>44</v>
      </c>
      <c r="C342" s="16" t="s">
        <v>77</v>
      </c>
      <c r="D342" s="16" t="s">
        <v>410</v>
      </c>
      <c r="E342" s="30">
        <v>105.0</v>
      </c>
      <c r="F342" s="16">
        <v>0.0</v>
      </c>
      <c r="G342" s="16">
        <v>250.0</v>
      </c>
      <c r="H342" s="31" t="s">
        <v>71</v>
      </c>
    </row>
    <row r="343" ht="15.75" customHeight="1">
      <c r="B343" s="16" t="s">
        <v>44</v>
      </c>
      <c r="C343" s="16" t="s">
        <v>72</v>
      </c>
      <c r="D343" s="16" t="s">
        <v>411</v>
      </c>
      <c r="E343" s="30">
        <v>110.0</v>
      </c>
      <c r="F343" s="16">
        <v>0.0</v>
      </c>
      <c r="G343" s="16">
        <v>300.0</v>
      </c>
      <c r="H343" s="31" t="s">
        <v>71</v>
      </c>
    </row>
    <row r="344" ht="15.75" customHeight="1">
      <c r="B344" s="16" t="s">
        <v>44</v>
      </c>
      <c r="C344" s="16" t="s">
        <v>77</v>
      </c>
      <c r="D344" s="16" t="s">
        <v>412</v>
      </c>
      <c r="E344" s="30">
        <v>110.0</v>
      </c>
      <c r="F344" s="16">
        <v>5.0</v>
      </c>
      <c r="G344" s="16">
        <v>200.0</v>
      </c>
      <c r="H344" s="31" t="s">
        <v>71</v>
      </c>
    </row>
    <row r="345" ht="15.75" customHeight="1">
      <c r="B345" s="16" t="s">
        <v>44</v>
      </c>
      <c r="C345" s="16" t="s">
        <v>77</v>
      </c>
      <c r="D345" s="16" t="s">
        <v>413</v>
      </c>
      <c r="E345" s="30">
        <v>110.0</v>
      </c>
      <c r="F345" s="16">
        <v>4.7</v>
      </c>
      <c r="G345" s="16">
        <v>400.0</v>
      </c>
      <c r="H345" s="31" t="s">
        <v>71</v>
      </c>
    </row>
    <row r="346" ht="15.75" customHeight="1">
      <c r="B346" s="16" t="s">
        <v>44</v>
      </c>
      <c r="C346" s="16" t="s">
        <v>77</v>
      </c>
      <c r="D346" s="16" t="s">
        <v>414</v>
      </c>
      <c r="E346" s="30">
        <v>110.0</v>
      </c>
      <c r="F346" s="16">
        <v>4.9</v>
      </c>
      <c r="G346" s="16">
        <v>150.0</v>
      </c>
      <c r="H346" s="31" t="s">
        <v>71</v>
      </c>
    </row>
    <row r="347" ht="15.75" customHeight="1">
      <c r="B347" s="16" t="s">
        <v>44</v>
      </c>
      <c r="C347" s="16" t="s">
        <v>142</v>
      </c>
      <c r="D347" s="16" t="s">
        <v>415</v>
      </c>
      <c r="E347" s="30">
        <v>110.0</v>
      </c>
      <c r="F347" s="16">
        <v>0.0</v>
      </c>
      <c r="G347" s="16">
        <v>250.0</v>
      </c>
      <c r="H347" s="31" t="s">
        <v>71</v>
      </c>
    </row>
    <row r="348" ht="15.75" customHeight="1">
      <c r="B348" s="16" t="s">
        <v>44</v>
      </c>
      <c r="C348" s="16" t="s">
        <v>72</v>
      </c>
      <c r="D348" s="16" t="s">
        <v>416</v>
      </c>
      <c r="E348" s="30">
        <v>115.0</v>
      </c>
      <c r="F348" s="16">
        <v>5.0</v>
      </c>
      <c r="G348" s="16">
        <v>180.0</v>
      </c>
      <c r="H348" s="31" t="s">
        <v>71</v>
      </c>
    </row>
    <row r="349" ht="15.75" customHeight="1">
      <c r="B349" s="16" t="s">
        <v>44</v>
      </c>
      <c r="C349" s="16" t="s">
        <v>77</v>
      </c>
      <c r="D349" s="16" t="s">
        <v>417</v>
      </c>
      <c r="E349" s="30">
        <v>118.0</v>
      </c>
      <c r="F349" s="16">
        <v>0.0</v>
      </c>
      <c r="G349" s="16">
        <v>180.0</v>
      </c>
      <c r="H349" s="31" t="s">
        <v>71</v>
      </c>
    </row>
    <row r="350" ht="15.75" customHeight="1">
      <c r="B350" s="16" t="s">
        <v>44</v>
      </c>
      <c r="C350" s="16" t="s">
        <v>72</v>
      </c>
      <c r="D350" s="16" t="s">
        <v>418</v>
      </c>
      <c r="E350" s="30">
        <v>119.0</v>
      </c>
      <c r="F350" s="16">
        <v>0.0</v>
      </c>
      <c r="G350" s="16">
        <v>150.0</v>
      </c>
      <c r="H350" s="31" t="s">
        <v>71</v>
      </c>
    </row>
    <row r="351" ht="15.75" customHeight="1">
      <c r="B351" s="16" t="s">
        <v>44</v>
      </c>
      <c r="C351" s="16" t="s">
        <v>77</v>
      </c>
      <c r="D351" s="16" t="s">
        <v>419</v>
      </c>
      <c r="E351" s="30">
        <v>119.0</v>
      </c>
      <c r="F351" s="16">
        <v>0.0</v>
      </c>
      <c r="G351" s="16">
        <v>100.0</v>
      </c>
      <c r="H351" s="31" t="s">
        <v>71</v>
      </c>
    </row>
    <row r="352" ht="15.75" customHeight="1">
      <c r="B352" s="16" t="s">
        <v>44</v>
      </c>
      <c r="C352" s="16" t="s">
        <v>72</v>
      </c>
      <c r="D352" s="16" t="s">
        <v>111</v>
      </c>
      <c r="E352" s="30">
        <v>120.0</v>
      </c>
      <c r="F352" s="16">
        <v>5.0</v>
      </c>
      <c r="G352" s="16">
        <v>200.0</v>
      </c>
      <c r="H352" s="31" t="s">
        <v>71</v>
      </c>
    </row>
    <row r="353" ht="15.75" customHeight="1">
      <c r="B353" s="16" t="s">
        <v>44</v>
      </c>
      <c r="C353" s="16" t="s">
        <v>77</v>
      </c>
      <c r="D353" s="16" t="s">
        <v>420</v>
      </c>
      <c r="E353" s="30">
        <v>120.0</v>
      </c>
      <c r="F353" s="16">
        <v>0.0</v>
      </c>
      <c r="G353" s="16">
        <v>110.0</v>
      </c>
      <c r="H353" s="31" t="s">
        <v>71</v>
      </c>
    </row>
    <row r="354" ht="15.75" customHeight="1">
      <c r="B354" s="16" t="s">
        <v>44</v>
      </c>
      <c r="C354" s="16" t="s">
        <v>142</v>
      </c>
      <c r="D354" s="16" t="s">
        <v>421</v>
      </c>
      <c r="E354" s="30">
        <v>120.0</v>
      </c>
      <c r="F354" s="16">
        <v>0.0</v>
      </c>
      <c r="G354" s="16">
        <v>220.0</v>
      </c>
      <c r="H354" s="31" t="s">
        <v>71</v>
      </c>
    </row>
    <row r="355" ht="15.75" customHeight="1">
      <c r="B355" s="16" t="s">
        <v>44</v>
      </c>
      <c r="C355" s="16" t="s">
        <v>77</v>
      </c>
      <c r="D355" s="16" t="s">
        <v>422</v>
      </c>
      <c r="E355" s="30">
        <v>124.0</v>
      </c>
      <c r="F355" s="16">
        <v>0.0</v>
      </c>
      <c r="G355" s="16">
        <v>170.0</v>
      </c>
      <c r="H355" s="31" t="s">
        <v>71</v>
      </c>
    </row>
    <row r="356" ht="15.75" customHeight="1">
      <c r="B356" s="16" t="s">
        <v>44</v>
      </c>
      <c r="C356" s="16" t="s">
        <v>72</v>
      </c>
      <c r="D356" s="16" t="s">
        <v>423</v>
      </c>
      <c r="E356" s="30">
        <v>125.0</v>
      </c>
      <c r="F356" s="16">
        <v>0.0</v>
      </c>
      <c r="G356" s="16">
        <v>120.0</v>
      </c>
      <c r="H356" s="31" t="s">
        <v>71</v>
      </c>
    </row>
    <row r="357" ht="15.75" customHeight="1">
      <c r="B357" s="16" t="s">
        <v>44</v>
      </c>
      <c r="C357" s="16" t="s">
        <v>142</v>
      </c>
      <c r="D357" s="16" t="s">
        <v>424</v>
      </c>
      <c r="E357" s="30">
        <v>125.0</v>
      </c>
      <c r="F357" s="16">
        <v>0.0</v>
      </c>
      <c r="G357" s="16">
        <v>60.0</v>
      </c>
      <c r="H357" s="31" t="s">
        <v>71</v>
      </c>
    </row>
    <row r="358" ht="15.75" customHeight="1">
      <c r="B358" s="16" t="s">
        <v>44</v>
      </c>
      <c r="C358" s="16" t="s">
        <v>77</v>
      </c>
      <c r="D358" s="16" t="s">
        <v>425</v>
      </c>
      <c r="E358" s="30">
        <v>129.0</v>
      </c>
      <c r="F358" s="16">
        <v>0.0</v>
      </c>
      <c r="G358" s="16">
        <v>200.0</v>
      </c>
      <c r="H358" s="31" t="s">
        <v>71</v>
      </c>
    </row>
    <row r="359" ht="15.75" customHeight="1">
      <c r="B359" s="16" t="s">
        <v>44</v>
      </c>
      <c r="C359" s="16" t="s">
        <v>77</v>
      </c>
      <c r="D359" s="16" t="s">
        <v>426</v>
      </c>
      <c r="E359" s="30">
        <v>148.5</v>
      </c>
      <c r="F359" s="16">
        <v>5.0</v>
      </c>
      <c r="G359" s="16">
        <v>240.0</v>
      </c>
      <c r="H359" s="31" t="s">
        <v>71</v>
      </c>
    </row>
    <row r="360" ht="15.75" customHeight="1">
      <c r="B360" s="16" t="s">
        <v>44</v>
      </c>
      <c r="C360" s="16" t="s">
        <v>77</v>
      </c>
      <c r="D360" s="16" t="s">
        <v>427</v>
      </c>
      <c r="E360" s="30">
        <v>150.0</v>
      </c>
      <c r="F360" s="16">
        <v>5.0</v>
      </c>
      <c r="G360" s="16">
        <v>110.0</v>
      </c>
      <c r="H360" s="31" t="s">
        <v>71</v>
      </c>
    </row>
    <row r="361" ht="15.75" customHeight="1">
      <c r="B361" s="16" t="s">
        <v>44</v>
      </c>
      <c r="C361" s="16" t="s">
        <v>77</v>
      </c>
      <c r="D361" s="16" t="s">
        <v>428</v>
      </c>
      <c r="E361" s="30">
        <v>150.0</v>
      </c>
      <c r="F361" s="16">
        <v>0.0</v>
      </c>
      <c r="G361" s="16">
        <v>120.0</v>
      </c>
      <c r="H361" s="31" t="s">
        <v>71</v>
      </c>
    </row>
    <row r="362" ht="15.75" customHeight="1">
      <c r="B362" s="16" t="s">
        <v>44</v>
      </c>
      <c r="C362" s="16" t="s">
        <v>77</v>
      </c>
      <c r="D362" s="16" t="s">
        <v>429</v>
      </c>
      <c r="E362" s="30">
        <v>150.0</v>
      </c>
      <c r="F362" s="16">
        <v>0.0</v>
      </c>
      <c r="G362" s="16">
        <v>120.0</v>
      </c>
      <c r="H362" s="31" t="s">
        <v>71</v>
      </c>
    </row>
    <row r="363" ht="15.75" customHeight="1">
      <c r="B363" s="16" t="s">
        <v>44</v>
      </c>
      <c r="C363" s="16" t="s">
        <v>142</v>
      </c>
      <c r="D363" s="16" t="s">
        <v>430</v>
      </c>
      <c r="E363" s="30">
        <v>150.0</v>
      </c>
      <c r="F363" s="16">
        <v>0.0</v>
      </c>
      <c r="G363" s="16">
        <v>200.0</v>
      </c>
      <c r="H363" s="31" t="s">
        <v>71</v>
      </c>
    </row>
    <row r="364" ht="15.75" customHeight="1">
      <c r="B364" s="16" t="s">
        <v>44</v>
      </c>
      <c r="C364" s="16" t="s">
        <v>72</v>
      </c>
      <c r="D364" s="16" t="s">
        <v>431</v>
      </c>
      <c r="E364" s="30">
        <v>159.0</v>
      </c>
      <c r="F364" s="16">
        <v>0.0</v>
      </c>
      <c r="G364" s="16">
        <v>200.0</v>
      </c>
      <c r="H364" s="31" t="s">
        <v>71</v>
      </c>
    </row>
    <row r="365" ht="15.75" customHeight="1">
      <c r="B365" s="16" t="s">
        <v>44</v>
      </c>
      <c r="C365" s="16" t="s">
        <v>77</v>
      </c>
      <c r="D365" s="16" t="s">
        <v>432</v>
      </c>
      <c r="E365" s="30">
        <v>167.0</v>
      </c>
      <c r="F365" s="16">
        <v>4.9</v>
      </c>
      <c r="G365" s="16">
        <v>200.0</v>
      </c>
      <c r="H365" s="31" t="s">
        <v>71</v>
      </c>
    </row>
    <row r="366" ht="15.75" customHeight="1">
      <c r="B366" s="16" t="s">
        <v>44</v>
      </c>
      <c r="C366" s="16" t="s">
        <v>77</v>
      </c>
      <c r="D366" s="16" t="s">
        <v>433</v>
      </c>
      <c r="E366" s="30">
        <v>168.0</v>
      </c>
      <c r="F366" s="16">
        <v>4.6</v>
      </c>
      <c r="G366" s="16">
        <v>100.0</v>
      </c>
      <c r="H366" s="31" t="s">
        <v>71</v>
      </c>
    </row>
    <row r="367" ht="15.75" customHeight="1">
      <c r="B367" s="16" t="s">
        <v>44</v>
      </c>
      <c r="C367" s="16" t="s">
        <v>77</v>
      </c>
      <c r="D367" s="16" t="s">
        <v>434</v>
      </c>
      <c r="E367" s="30">
        <v>170.0</v>
      </c>
      <c r="F367" s="16">
        <v>4.6</v>
      </c>
      <c r="G367" s="16">
        <v>110.0</v>
      </c>
      <c r="H367" s="31" t="s">
        <v>71</v>
      </c>
    </row>
    <row r="368" ht="15.75" customHeight="1">
      <c r="B368" s="16" t="s">
        <v>44</v>
      </c>
      <c r="C368" s="16" t="s">
        <v>72</v>
      </c>
      <c r="D368" s="16" t="s">
        <v>435</v>
      </c>
      <c r="E368" s="30">
        <v>193.0</v>
      </c>
      <c r="F368" s="16">
        <v>5.0</v>
      </c>
      <c r="G368" s="16">
        <v>350.0</v>
      </c>
      <c r="H368" s="31" t="s">
        <v>71</v>
      </c>
    </row>
    <row r="369" ht="15.75" customHeight="1">
      <c r="B369" s="16" t="s">
        <v>44</v>
      </c>
      <c r="C369" s="16" t="s">
        <v>72</v>
      </c>
      <c r="D369" s="16" t="s">
        <v>435</v>
      </c>
      <c r="E369" s="30">
        <v>193.0</v>
      </c>
      <c r="F369" s="16">
        <v>5.0</v>
      </c>
      <c r="G369" s="16">
        <v>350.0</v>
      </c>
      <c r="H369" s="31" t="s">
        <v>71</v>
      </c>
    </row>
    <row r="370" ht="15.75" customHeight="1">
      <c r="B370" s="16" t="s">
        <v>44</v>
      </c>
      <c r="C370" s="16" t="s">
        <v>77</v>
      </c>
      <c r="D370" s="16" t="s">
        <v>436</v>
      </c>
      <c r="E370" s="30">
        <v>197.0</v>
      </c>
      <c r="F370" s="16">
        <v>5.0</v>
      </c>
      <c r="G370" s="16">
        <v>500.0</v>
      </c>
      <c r="H370" s="31" t="s">
        <v>71</v>
      </c>
    </row>
    <row r="371" ht="15.75" customHeight="1">
      <c r="B371" s="16" t="s">
        <v>44</v>
      </c>
      <c r="C371" s="16" t="s">
        <v>77</v>
      </c>
      <c r="D371" s="16" t="s">
        <v>437</v>
      </c>
      <c r="E371" s="30">
        <v>205.0</v>
      </c>
      <c r="F371" s="16">
        <v>4.3</v>
      </c>
      <c r="G371" s="16">
        <v>120.0</v>
      </c>
      <c r="H371" s="31" t="s">
        <v>71</v>
      </c>
    </row>
    <row r="372" ht="15.75" customHeight="1">
      <c r="B372" s="16" t="s">
        <v>44</v>
      </c>
      <c r="C372" s="16" t="s">
        <v>77</v>
      </c>
      <c r="D372" s="16" t="s">
        <v>438</v>
      </c>
      <c r="E372" s="30">
        <v>210.0</v>
      </c>
      <c r="F372" s="16">
        <v>0.0</v>
      </c>
      <c r="G372" s="16">
        <v>90.0</v>
      </c>
      <c r="H372" s="31" t="s">
        <v>71</v>
      </c>
    </row>
    <row r="373" ht="15.75" customHeight="1">
      <c r="B373" s="16" t="s">
        <v>44</v>
      </c>
      <c r="C373" s="16" t="s">
        <v>72</v>
      </c>
      <c r="D373" s="16" t="s">
        <v>439</v>
      </c>
      <c r="E373" s="30">
        <v>215.0</v>
      </c>
      <c r="F373" s="16">
        <v>0.0</v>
      </c>
      <c r="G373" s="16">
        <v>300.0</v>
      </c>
      <c r="H373" s="31" t="s">
        <v>71</v>
      </c>
    </row>
    <row r="374" ht="15.75" customHeight="1">
      <c r="B374" s="16" t="s">
        <v>44</v>
      </c>
      <c r="C374" s="16" t="s">
        <v>77</v>
      </c>
      <c r="D374" s="16" t="s">
        <v>440</v>
      </c>
      <c r="E374" s="30">
        <v>225.0</v>
      </c>
      <c r="F374" s="16">
        <v>0.0</v>
      </c>
      <c r="G374" s="16">
        <v>200.0</v>
      </c>
      <c r="H374" s="31" t="s">
        <v>71</v>
      </c>
    </row>
    <row r="375" ht="15.75" customHeight="1">
      <c r="B375" s="16" t="s">
        <v>44</v>
      </c>
      <c r="C375" s="16" t="s">
        <v>77</v>
      </c>
      <c r="D375" s="16" t="s">
        <v>441</v>
      </c>
      <c r="E375" s="30">
        <v>260.0</v>
      </c>
      <c r="F375" s="16">
        <v>5.0</v>
      </c>
      <c r="G375" s="16">
        <v>120.0</v>
      </c>
      <c r="H375" s="31" t="s">
        <v>71</v>
      </c>
    </row>
    <row r="376" ht="15.75" customHeight="1">
      <c r="B376" s="16" t="s">
        <v>44</v>
      </c>
      <c r="C376" s="16" t="s">
        <v>72</v>
      </c>
      <c r="D376" s="16" t="s">
        <v>442</v>
      </c>
      <c r="E376" s="30">
        <v>300.0</v>
      </c>
      <c r="F376" s="16">
        <v>5.0</v>
      </c>
      <c r="G376" s="16">
        <v>100.0</v>
      </c>
      <c r="H376" s="31" t="s">
        <v>71</v>
      </c>
    </row>
    <row r="377" ht="15.75" customHeight="1">
      <c r="B377" s="16" t="s">
        <v>44</v>
      </c>
      <c r="C377" s="16" t="s">
        <v>72</v>
      </c>
      <c r="D377" s="16" t="s">
        <v>443</v>
      </c>
      <c r="E377" s="30">
        <v>350.0</v>
      </c>
      <c r="F377" s="16">
        <v>0.0</v>
      </c>
      <c r="G377" s="16">
        <v>150.0</v>
      </c>
      <c r="H377" s="31" t="s">
        <v>71</v>
      </c>
    </row>
    <row r="378" ht="15.75" customHeight="1">
      <c r="B378" s="16" t="s">
        <v>49</v>
      </c>
      <c r="C378" s="16" t="s">
        <v>72</v>
      </c>
      <c r="D378" s="16" t="s">
        <v>444</v>
      </c>
      <c r="E378" s="30">
        <v>60.0</v>
      </c>
      <c r="F378" s="16">
        <v>49.0</v>
      </c>
      <c r="G378" s="16">
        <v>1200.0</v>
      </c>
      <c r="H378" s="31" t="s">
        <v>71</v>
      </c>
    </row>
    <row r="379" ht="15.75" customHeight="1">
      <c r="B379" s="16" t="s">
        <v>49</v>
      </c>
      <c r="C379" s="16" t="s">
        <v>72</v>
      </c>
      <c r="D379" s="16" t="s">
        <v>445</v>
      </c>
      <c r="E379" s="30">
        <v>60.0</v>
      </c>
      <c r="F379" s="16">
        <v>4.2</v>
      </c>
      <c r="G379" s="16">
        <v>240.0</v>
      </c>
      <c r="H379" s="31" t="s">
        <v>71</v>
      </c>
    </row>
    <row r="380" ht="15.75" customHeight="1">
      <c r="B380" s="16" t="s">
        <v>49</v>
      </c>
      <c r="C380" s="16" t="s">
        <v>72</v>
      </c>
      <c r="D380" s="16" t="s">
        <v>446</v>
      </c>
      <c r="E380" s="30">
        <v>60.0</v>
      </c>
      <c r="F380" s="16">
        <v>5.0</v>
      </c>
      <c r="G380" s="16">
        <v>1000.0</v>
      </c>
      <c r="H380" s="31" t="s">
        <v>71</v>
      </c>
    </row>
    <row r="381" ht="15.75" customHeight="1">
      <c r="B381" s="16" t="s">
        <v>49</v>
      </c>
      <c r="C381" s="16" t="s">
        <v>72</v>
      </c>
      <c r="D381" s="16" t="s">
        <v>255</v>
      </c>
      <c r="E381" s="30">
        <v>60.0</v>
      </c>
      <c r="F381" s="16">
        <v>4.8</v>
      </c>
      <c r="G381" s="16">
        <v>600.0</v>
      </c>
      <c r="H381" s="31" t="s">
        <v>71</v>
      </c>
    </row>
    <row r="382" ht="15.75" customHeight="1">
      <c r="B382" s="16" t="s">
        <v>49</v>
      </c>
      <c r="C382" s="16" t="s">
        <v>72</v>
      </c>
      <c r="D382" s="16" t="s">
        <v>447</v>
      </c>
      <c r="E382" s="30">
        <v>60.0</v>
      </c>
      <c r="F382" s="16">
        <v>0.0</v>
      </c>
      <c r="G382" s="16">
        <v>300.0</v>
      </c>
      <c r="H382" s="31" t="s">
        <v>71</v>
      </c>
    </row>
    <row r="383" ht="15.75" customHeight="1">
      <c r="B383" s="16" t="s">
        <v>49</v>
      </c>
      <c r="C383" s="16" t="s">
        <v>72</v>
      </c>
      <c r="D383" s="16" t="s">
        <v>448</v>
      </c>
      <c r="E383" s="30">
        <v>60.0</v>
      </c>
      <c r="F383" s="16">
        <v>0.0</v>
      </c>
      <c r="G383" s="16">
        <v>500.0</v>
      </c>
      <c r="H383" s="31" t="s">
        <v>71</v>
      </c>
    </row>
    <row r="384" ht="15.75" customHeight="1">
      <c r="B384" s="16" t="s">
        <v>49</v>
      </c>
      <c r="C384" s="16" t="s">
        <v>72</v>
      </c>
      <c r="D384" s="16" t="s">
        <v>449</v>
      </c>
      <c r="E384" s="30">
        <v>60.0</v>
      </c>
      <c r="F384" s="16">
        <v>5.0</v>
      </c>
      <c r="G384" s="16">
        <v>450.0</v>
      </c>
      <c r="H384" s="31" t="s">
        <v>71</v>
      </c>
    </row>
    <row r="385" ht="15.75" customHeight="1">
      <c r="B385" s="16" t="s">
        <v>49</v>
      </c>
      <c r="C385" s="16" t="s">
        <v>142</v>
      </c>
      <c r="D385" s="16" t="s">
        <v>450</v>
      </c>
      <c r="E385" s="30">
        <v>60.0</v>
      </c>
      <c r="F385" s="16">
        <v>4.6</v>
      </c>
      <c r="G385" s="16">
        <v>200.0</v>
      </c>
      <c r="H385" s="31" t="s">
        <v>71</v>
      </c>
    </row>
    <row r="386" ht="15.75" customHeight="1">
      <c r="B386" s="16" t="s">
        <v>49</v>
      </c>
      <c r="C386" s="16" t="s">
        <v>72</v>
      </c>
      <c r="D386" s="16" t="s">
        <v>451</v>
      </c>
      <c r="E386" s="30">
        <v>65.0</v>
      </c>
      <c r="F386" s="16">
        <v>4.8</v>
      </c>
      <c r="G386" s="16">
        <v>750.0</v>
      </c>
      <c r="H386" s="31" t="s">
        <v>71</v>
      </c>
    </row>
    <row r="387" ht="15.75" customHeight="1">
      <c r="B387" s="16" t="s">
        <v>49</v>
      </c>
      <c r="C387" s="16" t="s">
        <v>142</v>
      </c>
      <c r="D387" s="16" t="s">
        <v>452</v>
      </c>
      <c r="E387" s="30">
        <v>70.0</v>
      </c>
      <c r="F387" s="16">
        <v>4.9</v>
      </c>
      <c r="G387" s="16">
        <v>300.0</v>
      </c>
      <c r="H387" s="31" t="s">
        <v>71</v>
      </c>
    </row>
    <row r="388" ht="15.75" customHeight="1">
      <c r="B388" s="16" t="s">
        <v>49</v>
      </c>
      <c r="C388" s="16" t="s">
        <v>72</v>
      </c>
      <c r="D388" s="16" t="s">
        <v>453</v>
      </c>
      <c r="E388" s="30">
        <v>75.0</v>
      </c>
      <c r="F388" s="16">
        <v>0.0</v>
      </c>
      <c r="G388" s="16">
        <v>250.0</v>
      </c>
      <c r="H388" s="31" t="s">
        <v>71</v>
      </c>
    </row>
    <row r="389" ht="15.75" customHeight="1">
      <c r="B389" s="16" t="s">
        <v>49</v>
      </c>
      <c r="C389" s="16" t="s">
        <v>72</v>
      </c>
      <c r="D389" s="16" t="s">
        <v>454</v>
      </c>
      <c r="E389" s="30">
        <v>80.0</v>
      </c>
      <c r="F389" s="16">
        <v>4.5</v>
      </c>
      <c r="G389" s="16">
        <v>300.0</v>
      </c>
      <c r="H389" s="31" t="s">
        <v>71</v>
      </c>
    </row>
    <row r="390" ht="15.75" customHeight="1">
      <c r="B390" s="16" t="s">
        <v>49</v>
      </c>
      <c r="C390" s="16" t="s">
        <v>77</v>
      </c>
      <c r="D390" s="16" t="s">
        <v>455</v>
      </c>
      <c r="E390" s="30">
        <v>85.0</v>
      </c>
      <c r="F390" s="16">
        <v>0.0</v>
      </c>
      <c r="G390" s="16">
        <v>120.0</v>
      </c>
      <c r="H390" s="31" t="s">
        <v>71</v>
      </c>
    </row>
    <row r="391" ht="15.75" customHeight="1">
      <c r="B391" s="16" t="s">
        <v>49</v>
      </c>
      <c r="C391" s="16" t="s">
        <v>77</v>
      </c>
      <c r="D391" s="16" t="s">
        <v>456</v>
      </c>
      <c r="E391" s="30">
        <v>90.0</v>
      </c>
      <c r="F391" s="16">
        <v>5.0</v>
      </c>
      <c r="G391" s="16">
        <v>40.0</v>
      </c>
      <c r="H391" s="31" t="s">
        <v>71</v>
      </c>
    </row>
    <row r="392" ht="15.75" customHeight="1">
      <c r="B392" s="16" t="s">
        <v>49</v>
      </c>
      <c r="C392" s="16" t="s">
        <v>72</v>
      </c>
      <c r="D392" s="16" t="s">
        <v>248</v>
      </c>
      <c r="E392" s="30">
        <v>95.0</v>
      </c>
      <c r="F392" s="16">
        <v>4.8</v>
      </c>
      <c r="G392" s="16">
        <v>350.0</v>
      </c>
      <c r="H392" s="31" t="s">
        <v>71</v>
      </c>
    </row>
    <row r="393" ht="15.75" customHeight="1">
      <c r="B393" s="16" t="s">
        <v>49</v>
      </c>
      <c r="C393" s="16" t="s">
        <v>142</v>
      </c>
      <c r="D393" s="16" t="s">
        <v>457</v>
      </c>
      <c r="E393" s="30">
        <v>110.0</v>
      </c>
      <c r="F393" s="16">
        <v>5.0</v>
      </c>
      <c r="G393" s="16">
        <v>300.0</v>
      </c>
      <c r="H393" s="31" t="s">
        <v>71</v>
      </c>
    </row>
    <row r="394" ht="15.75" customHeight="1">
      <c r="B394" s="16" t="s">
        <v>49</v>
      </c>
      <c r="C394" s="16" t="s">
        <v>72</v>
      </c>
      <c r="D394" s="16" t="s">
        <v>458</v>
      </c>
      <c r="E394" s="30">
        <v>120.0</v>
      </c>
      <c r="F394" s="16">
        <v>5.0</v>
      </c>
      <c r="G394" s="16">
        <v>200.0</v>
      </c>
      <c r="H394" s="31" t="s">
        <v>71</v>
      </c>
    </row>
    <row r="395" ht="15.75" customHeight="1">
      <c r="B395" s="16" t="s">
        <v>50</v>
      </c>
      <c r="C395" s="16" t="s">
        <v>77</v>
      </c>
      <c r="D395" s="16" t="s">
        <v>459</v>
      </c>
      <c r="E395" s="30">
        <v>15.0</v>
      </c>
      <c r="F395" s="16">
        <v>4.2</v>
      </c>
      <c r="G395" s="16">
        <v>400.0</v>
      </c>
      <c r="H395" s="31" t="s">
        <v>71</v>
      </c>
    </row>
    <row r="396" ht="15.75" customHeight="1">
      <c r="B396" s="16" t="s">
        <v>50</v>
      </c>
      <c r="C396" s="16" t="s">
        <v>72</v>
      </c>
      <c r="D396" s="16" t="s">
        <v>460</v>
      </c>
      <c r="E396" s="30">
        <v>25.0</v>
      </c>
      <c r="F396" s="16">
        <v>5.0</v>
      </c>
      <c r="G396" s="16">
        <v>250.0</v>
      </c>
      <c r="H396" s="31" t="s">
        <v>71</v>
      </c>
    </row>
    <row r="397" ht="15.75" customHeight="1">
      <c r="B397" s="16" t="s">
        <v>50</v>
      </c>
      <c r="C397" s="16" t="s">
        <v>77</v>
      </c>
      <c r="D397" s="16" t="s">
        <v>461</v>
      </c>
      <c r="E397" s="30">
        <v>25.0</v>
      </c>
      <c r="F397" s="16">
        <v>0.0</v>
      </c>
      <c r="G397" s="16">
        <v>80.0</v>
      </c>
      <c r="H397" s="31" t="s">
        <v>71</v>
      </c>
    </row>
    <row r="398" ht="15.75" customHeight="1">
      <c r="B398" s="16" t="s">
        <v>50</v>
      </c>
      <c r="C398" s="16" t="s">
        <v>77</v>
      </c>
      <c r="D398" s="16" t="s">
        <v>462</v>
      </c>
      <c r="E398" s="30">
        <v>25.0</v>
      </c>
      <c r="F398" s="16">
        <v>0.0</v>
      </c>
      <c r="G398" s="16">
        <v>90.0</v>
      </c>
      <c r="H398" s="31" t="s">
        <v>71</v>
      </c>
    </row>
    <row r="399" ht="15.75" customHeight="1">
      <c r="B399" s="16" t="s">
        <v>50</v>
      </c>
      <c r="C399" s="16" t="s">
        <v>142</v>
      </c>
      <c r="D399" s="16" t="s">
        <v>463</v>
      </c>
      <c r="E399" s="30">
        <v>25.0</v>
      </c>
      <c r="F399" s="16">
        <v>5.0</v>
      </c>
      <c r="G399" s="16">
        <v>350.0</v>
      </c>
      <c r="H399" s="31" t="s">
        <v>71</v>
      </c>
    </row>
    <row r="400" ht="15.75" customHeight="1">
      <c r="B400" s="16" t="s">
        <v>50</v>
      </c>
      <c r="C400" s="16" t="s">
        <v>142</v>
      </c>
      <c r="D400" s="16" t="s">
        <v>464</v>
      </c>
      <c r="E400" s="30">
        <v>25.0</v>
      </c>
      <c r="F400" s="16">
        <v>0.0</v>
      </c>
      <c r="G400" s="16">
        <v>90.0</v>
      </c>
      <c r="H400" s="31" t="s">
        <v>71</v>
      </c>
    </row>
    <row r="401" ht="15.75" customHeight="1">
      <c r="B401" s="16" t="s">
        <v>50</v>
      </c>
      <c r="C401" s="16" t="s">
        <v>72</v>
      </c>
      <c r="D401" s="16" t="s">
        <v>465</v>
      </c>
      <c r="E401" s="30">
        <v>35.0</v>
      </c>
      <c r="F401" s="16">
        <v>4.8</v>
      </c>
      <c r="G401" s="16">
        <v>280.0</v>
      </c>
      <c r="H401" s="31" t="s">
        <v>71</v>
      </c>
    </row>
    <row r="402" ht="15.75" customHeight="1">
      <c r="B402" s="16" t="s">
        <v>50</v>
      </c>
      <c r="C402" s="16" t="s">
        <v>77</v>
      </c>
      <c r="D402" s="16" t="s">
        <v>466</v>
      </c>
      <c r="E402" s="30">
        <v>35.0</v>
      </c>
      <c r="F402" s="16">
        <v>0.0</v>
      </c>
      <c r="G402" s="16">
        <v>70.0</v>
      </c>
      <c r="H402" s="31" t="s">
        <v>71</v>
      </c>
    </row>
    <row r="403" ht="15.75" customHeight="1">
      <c r="B403" s="16" t="s">
        <v>50</v>
      </c>
      <c r="C403" s="16" t="s">
        <v>72</v>
      </c>
      <c r="D403" s="16" t="s">
        <v>467</v>
      </c>
      <c r="E403" s="30">
        <v>40.0</v>
      </c>
      <c r="F403" s="16">
        <v>4.8</v>
      </c>
      <c r="G403" s="16">
        <v>220.0</v>
      </c>
      <c r="H403" s="31" t="s">
        <v>71</v>
      </c>
    </row>
    <row r="404" ht="15.75" customHeight="1">
      <c r="B404" s="16" t="s">
        <v>50</v>
      </c>
      <c r="C404" s="16" t="s">
        <v>72</v>
      </c>
      <c r="D404" s="16" t="s">
        <v>468</v>
      </c>
      <c r="E404" s="30">
        <v>40.0</v>
      </c>
      <c r="F404" s="16">
        <v>0.0</v>
      </c>
      <c r="G404" s="16">
        <v>450.0</v>
      </c>
      <c r="H404" s="31" t="s">
        <v>71</v>
      </c>
    </row>
    <row r="405" ht="15.75" customHeight="1">
      <c r="B405" s="16" t="s">
        <v>50</v>
      </c>
      <c r="C405" s="16" t="s">
        <v>72</v>
      </c>
      <c r="D405" s="16" t="s">
        <v>469</v>
      </c>
      <c r="E405" s="30">
        <v>40.0</v>
      </c>
      <c r="F405" s="16">
        <v>0.0</v>
      </c>
      <c r="G405" s="16">
        <v>50.0</v>
      </c>
      <c r="H405" s="31" t="s">
        <v>71</v>
      </c>
    </row>
    <row r="406" ht="15.75" customHeight="1">
      <c r="B406" s="16" t="s">
        <v>50</v>
      </c>
      <c r="C406" s="16" t="s">
        <v>77</v>
      </c>
      <c r="D406" s="16" t="s">
        <v>470</v>
      </c>
      <c r="E406" s="30">
        <v>45.0</v>
      </c>
      <c r="F406" s="16">
        <v>0.0</v>
      </c>
      <c r="G406" s="16">
        <v>150.0</v>
      </c>
      <c r="H406" s="31" t="s">
        <v>71</v>
      </c>
    </row>
    <row r="407" ht="15.75" customHeight="1">
      <c r="B407" s="16" t="s">
        <v>50</v>
      </c>
      <c r="C407" s="16" t="s">
        <v>142</v>
      </c>
      <c r="D407" s="16" t="s">
        <v>471</v>
      </c>
      <c r="E407" s="30">
        <v>45.0</v>
      </c>
      <c r="F407" s="16">
        <v>0.0</v>
      </c>
      <c r="G407" s="16">
        <v>300.0</v>
      </c>
      <c r="H407" s="31" t="s">
        <v>71</v>
      </c>
    </row>
    <row r="408" ht="15.75" customHeight="1">
      <c r="B408" s="16" t="s">
        <v>50</v>
      </c>
      <c r="C408" s="16" t="s">
        <v>72</v>
      </c>
      <c r="D408" s="16" t="s">
        <v>472</v>
      </c>
      <c r="E408" s="30">
        <v>49.0</v>
      </c>
      <c r="F408" s="16">
        <v>4.8</v>
      </c>
      <c r="G408" s="16">
        <v>150.0</v>
      </c>
      <c r="H408" s="31" t="s">
        <v>71</v>
      </c>
    </row>
    <row r="409" ht="15.75" customHeight="1">
      <c r="B409" s="16" t="s">
        <v>50</v>
      </c>
      <c r="C409" s="16" t="s">
        <v>72</v>
      </c>
      <c r="D409" s="16" t="s">
        <v>473</v>
      </c>
      <c r="E409" s="30">
        <v>50.0</v>
      </c>
      <c r="F409" s="16">
        <v>4.9</v>
      </c>
      <c r="G409" s="16">
        <v>850.0</v>
      </c>
      <c r="H409" s="31" t="s">
        <v>71</v>
      </c>
    </row>
    <row r="410" ht="15.75" customHeight="1">
      <c r="B410" s="16" t="s">
        <v>50</v>
      </c>
      <c r="C410" s="16" t="s">
        <v>72</v>
      </c>
      <c r="D410" s="16" t="s">
        <v>474</v>
      </c>
      <c r="E410" s="30">
        <v>50.0</v>
      </c>
      <c r="F410" s="16">
        <v>0.0</v>
      </c>
      <c r="G410" s="16">
        <v>150.0</v>
      </c>
      <c r="H410" s="31" t="s">
        <v>71</v>
      </c>
    </row>
    <row r="411" ht="15.75" customHeight="1">
      <c r="B411" s="16" t="s">
        <v>50</v>
      </c>
      <c r="C411" s="16" t="s">
        <v>77</v>
      </c>
      <c r="D411" s="16" t="s">
        <v>475</v>
      </c>
      <c r="E411" s="30">
        <v>50.0</v>
      </c>
      <c r="F411" s="16">
        <v>5.0</v>
      </c>
      <c r="G411" s="16">
        <v>200.0</v>
      </c>
      <c r="H411" s="31" t="s">
        <v>71</v>
      </c>
    </row>
    <row r="412" ht="15.75" customHeight="1">
      <c r="B412" s="16" t="s">
        <v>50</v>
      </c>
      <c r="C412" s="16" t="s">
        <v>142</v>
      </c>
      <c r="D412" s="16" t="s">
        <v>476</v>
      </c>
      <c r="E412" s="30">
        <v>50.0</v>
      </c>
      <c r="F412" s="16">
        <v>4.6</v>
      </c>
      <c r="G412" s="16">
        <v>250.0</v>
      </c>
      <c r="H412" s="31" t="s">
        <v>71</v>
      </c>
    </row>
    <row r="413" ht="15.75" customHeight="1">
      <c r="B413" s="16" t="s">
        <v>50</v>
      </c>
      <c r="C413" s="16" t="s">
        <v>477</v>
      </c>
      <c r="D413" s="16" t="s">
        <v>478</v>
      </c>
      <c r="E413" s="30">
        <v>50.0</v>
      </c>
      <c r="F413" s="16">
        <v>0.0</v>
      </c>
      <c r="G413" s="16">
        <v>400.0</v>
      </c>
      <c r="H413" s="31" t="s">
        <v>71</v>
      </c>
    </row>
    <row r="414" ht="15.75" customHeight="1">
      <c r="B414" s="16" t="s">
        <v>50</v>
      </c>
      <c r="C414" s="16" t="s">
        <v>72</v>
      </c>
      <c r="D414" s="16" t="s">
        <v>479</v>
      </c>
      <c r="E414" s="30">
        <v>55.0</v>
      </c>
      <c r="F414" s="16">
        <v>5.0</v>
      </c>
      <c r="G414" s="16">
        <v>100.0</v>
      </c>
      <c r="H414" s="31" t="s">
        <v>71</v>
      </c>
    </row>
    <row r="415" ht="15.75" customHeight="1">
      <c r="B415" s="16" t="s">
        <v>50</v>
      </c>
      <c r="C415" s="16" t="s">
        <v>72</v>
      </c>
      <c r="D415" s="16" t="s">
        <v>480</v>
      </c>
      <c r="E415" s="30">
        <v>55.0</v>
      </c>
      <c r="F415" s="16">
        <v>0.0</v>
      </c>
      <c r="G415" s="16">
        <v>500.0</v>
      </c>
      <c r="H415" s="31" t="s">
        <v>71</v>
      </c>
    </row>
    <row r="416" ht="15.75" customHeight="1">
      <c r="B416" s="16" t="s">
        <v>50</v>
      </c>
      <c r="C416" s="16" t="s">
        <v>142</v>
      </c>
      <c r="D416" s="16" t="s">
        <v>481</v>
      </c>
      <c r="E416" s="30">
        <v>59.98</v>
      </c>
      <c r="F416" s="16">
        <v>4.8</v>
      </c>
      <c r="G416" s="16">
        <v>400.0</v>
      </c>
      <c r="H416" s="31" t="s">
        <v>71</v>
      </c>
    </row>
    <row r="417" ht="15.75" customHeight="1">
      <c r="B417" s="16" t="s">
        <v>50</v>
      </c>
      <c r="C417" s="16" t="s">
        <v>77</v>
      </c>
      <c r="D417" s="16" t="s">
        <v>482</v>
      </c>
      <c r="E417" s="30">
        <v>60.0</v>
      </c>
      <c r="F417" s="16">
        <v>0.0</v>
      </c>
      <c r="G417" s="16">
        <v>150.0</v>
      </c>
      <c r="H417" s="31" t="s">
        <v>71</v>
      </c>
    </row>
    <row r="418" ht="15.75" customHeight="1">
      <c r="B418" s="16" t="s">
        <v>50</v>
      </c>
      <c r="C418" s="16" t="s">
        <v>72</v>
      </c>
      <c r="D418" s="16" t="s">
        <v>483</v>
      </c>
      <c r="E418" s="30">
        <v>65.0</v>
      </c>
      <c r="F418" s="16">
        <v>5.0</v>
      </c>
      <c r="G418" s="16">
        <v>700.0</v>
      </c>
      <c r="H418" s="31" t="s">
        <v>71</v>
      </c>
    </row>
    <row r="419" ht="15.75" customHeight="1">
      <c r="B419" s="16" t="s">
        <v>50</v>
      </c>
      <c r="C419" s="16" t="s">
        <v>77</v>
      </c>
      <c r="D419" s="16" t="s">
        <v>484</v>
      </c>
      <c r="E419" s="30">
        <v>65.0</v>
      </c>
      <c r="F419" s="16">
        <v>0.0</v>
      </c>
      <c r="G419" s="16">
        <v>140.0</v>
      </c>
      <c r="H419" s="31" t="s">
        <v>71</v>
      </c>
    </row>
    <row r="420" ht="15.75" customHeight="1">
      <c r="B420" s="16" t="s">
        <v>50</v>
      </c>
      <c r="C420" s="16" t="s">
        <v>77</v>
      </c>
      <c r="D420" s="16" t="s">
        <v>485</v>
      </c>
      <c r="E420" s="30">
        <v>68.0</v>
      </c>
      <c r="F420" s="16">
        <v>0.0</v>
      </c>
      <c r="G420" s="16">
        <v>300.0</v>
      </c>
      <c r="H420" s="31" t="s">
        <v>71</v>
      </c>
    </row>
    <row r="421" ht="15.75" customHeight="1">
      <c r="B421" s="16" t="s">
        <v>50</v>
      </c>
      <c r="C421" s="16" t="s">
        <v>72</v>
      </c>
      <c r="D421" s="16" t="s">
        <v>486</v>
      </c>
      <c r="E421" s="30">
        <v>69.0</v>
      </c>
      <c r="F421" s="16">
        <v>4.9</v>
      </c>
      <c r="G421" s="16">
        <v>450.0</v>
      </c>
      <c r="H421" s="31" t="s">
        <v>71</v>
      </c>
    </row>
    <row r="422" ht="15.75" customHeight="1">
      <c r="B422" s="16" t="s">
        <v>50</v>
      </c>
      <c r="C422" s="16" t="s">
        <v>72</v>
      </c>
      <c r="D422" s="16" t="s">
        <v>487</v>
      </c>
      <c r="E422" s="30">
        <v>70.0</v>
      </c>
      <c r="F422" s="16">
        <v>4.6</v>
      </c>
      <c r="G422" s="16">
        <v>300.0</v>
      </c>
      <c r="H422" s="31" t="s">
        <v>71</v>
      </c>
    </row>
    <row r="423" ht="15.75" customHeight="1">
      <c r="B423" s="16" t="s">
        <v>50</v>
      </c>
      <c r="C423" s="16" t="s">
        <v>72</v>
      </c>
      <c r="D423" s="16" t="s">
        <v>488</v>
      </c>
      <c r="E423" s="30">
        <v>70.0</v>
      </c>
      <c r="F423" s="16">
        <v>0.0</v>
      </c>
      <c r="G423" s="16">
        <v>300.0</v>
      </c>
      <c r="H423" s="31" t="s">
        <v>71</v>
      </c>
    </row>
    <row r="424" ht="15.75" customHeight="1">
      <c r="B424" s="16" t="s">
        <v>50</v>
      </c>
      <c r="C424" s="16" t="s">
        <v>72</v>
      </c>
      <c r="D424" s="16" t="s">
        <v>489</v>
      </c>
      <c r="E424" s="30">
        <v>70.0</v>
      </c>
      <c r="F424" s="16">
        <v>0.0</v>
      </c>
      <c r="G424" s="16">
        <v>150.0</v>
      </c>
      <c r="H424" s="31" t="s">
        <v>71</v>
      </c>
    </row>
    <row r="425" ht="15.75" customHeight="1">
      <c r="B425" s="16" t="s">
        <v>50</v>
      </c>
      <c r="C425" s="16" t="s">
        <v>72</v>
      </c>
      <c r="D425" s="16" t="s">
        <v>490</v>
      </c>
      <c r="E425" s="30">
        <v>75.0</v>
      </c>
      <c r="F425" s="16">
        <v>5.0</v>
      </c>
      <c r="G425" s="16">
        <v>400.0</v>
      </c>
      <c r="H425" s="31" t="s">
        <v>71</v>
      </c>
    </row>
    <row r="426" ht="15.75" customHeight="1">
      <c r="B426" s="16" t="s">
        <v>50</v>
      </c>
      <c r="C426" s="16" t="s">
        <v>72</v>
      </c>
      <c r="D426" s="16" t="s">
        <v>491</v>
      </c>
      <c r="E426" s="30">
        <v>75.0</v>
      </c>
      <c r="F426" s="16">
        <v>4.9</v>
      </c>
      <c r="G426" s="16">
        <v>350.0</v>
      </c>
      <c r="H426" s="31" t="s">
        <v>71</v>
      </c>
    </row>
    <row r="427" ht="15.75" customHeight="1">
      <c r="B427" s="16" t="s">
        <v>50</v>
      </c>
      <c r="C427" s="16" t="s">
        <v>72</v>
      </c>
      <c r="D427" s="16" t="s">
        <v>492</v>
      </c>
      <c r="E427" s="30">
        <v>75.0</v>
      </c>
      <c r="F427" s="16">
        <v>5.0</v>
      </c>
      <c r="G427" s="16">
        <v>130.0</v>
      </c>
      <c r="H427" s="31" t="s">
        <v>71</v>
      </c>
    </row>
    <row r="428" ht="15.75" customHeight="1">
      <c r="B428" s="16" t="s">
        <v>50</v>
      </c>
      <c r="C428" s="16" t="s">
        <v>72</v>
      </c>
      <c r="D428" s="16" t="s">
        <v>493</v>
      </c>
      <c r="E428" s="30">
        <v>75.0</v>
      </c>
      <c r="F428" s="16">
        <v>0.0</v>
      </c>
      <c r="G428" s="16">
        <v>350.0</v>
      </c>
      <c r="H428" s="31" t="s">
        <v>71</v>
      </c>
    </row>
    <row r="429" ht="15.75" customHeight="1">
      <c r="B429" s="16" t="s">
        <v>50</v>
      </c>
      <c r="C429" s="16" t="s">
        <v>72</v>
      </c>
      <c r="D429" s="16" t="s">
        <v>494</v>
      </c>
      <c r="E429" s="30">
        <v>77.5</v>
      </c>
      <c r="F429" s="16">
        <v>4.8</v>
      </c>
      <c r="G429" s="16">
        <v>1200.0</v>
      </c>
      <c r="H429" s="31" t="s">
        <v>71</v>
      </c>
    </row>
    <row r="430" ht="15.75" customHeight="1">
      <c r="B430" s="16" t="s">
        <v>50</v>
      </c>
      <c r="C430" s="16" t="s">
        <v>77</v>
      </c>
      <c r="D430" s="16" t="s">
        <v>495</v>
      </c>
      <c r="E430" s="30">
        <v>79.0</v>
      </c>
      <c r="F430" s="16">
        <v>4.8</v>
      </c>
      <c r="G430" s="16">
        <v>600.0</v>
      </c>
      <c r="H430" s="31" t="s">
        <v>71</v>
      </c>
    </row>
    <row r="431" ht="15.75" customHeight="1">
      <c r="B431" s="16" t="s">
        <v>50</v>
      </c>
      <c r="C431" s="16" t="s">
        <v>72</v>
      </c>
      <c r="D431" s="16" t="s">
        <v>496</v>
      </c>
      <c r="E431" s="30">
        <v>80.0</v>
      </c>
      <c r="F431" s="16">
        <v>4.9</v>
      </c>
      <c r="G431" s="16">
        <v>450.0</v>
      </c>
      <c r="H431" s="31" t="s">
        <v>71</v>
      </c>
    </row>
    <row r="432" ht="15.75" customHeight="1">
      <c r="B432" s="16" t="s">
        <v>50</v>
      </c>
      <c r="C432" s="16" t="s">
        <v>72</v>
      </c>
      <c r="D432" s="16" t="s">
        <v>497</v>
      </c>
      <c r="E432" s="30">
        <v>80.0</v>
      </c>
      <c r="F432" s="16">
        <v>4.9</v>
      </c>
      <c r="G432" s="16">
        <v>200.0</v>
      </c>
      <c r="H432" s="31" t="s">
        <v>71</v>
      </c>
    </row>
    <row r="433" ht="15.75" customHeight="1">
      <c r="B433" s="16" t="s">
        <v>50</v>
      </c>
      <c r="C433" s="16" t="s">
        <v>72</v>
      </c>
      <c r="D433" s="16" t="s">
        <v>498</v>
      </c>
      <c r="E433" s="30">
        <v>80.0</v>
      </c>
      <c r="F433" s="16">
        <v>4.9</v>
      </c>
      <c r="G433" s="16">
        <v>250.0</v>
      </c>
      <c r="H433" s="31" t="s">
        <v>71</v>
      </c>
    </row>
    <row r="434" ht="15.75" customHeight="1">
      <c r="B434" s="16" t="s">
        <v>50</v>
      </c>
      <c r="C434" s="16" t="s">
        <v>77</v>
      </c>
      <c r="D434" s="16" t="s">
        <v>499</v>
      </c>
      <c r="E434" s="30">
        <v>87.0</v>
      </c>
      <c r="F434" s="16">
        <v>0.0</v>
      </c>
      <c r="G434" s="16">
        <v>140.0</v>
      </c>
      <c r="H434" s="31" t="s">
        <v>71</v>
      </c>
    </row>
    <row r="435" ht="15.75" customHeight="1">
      <c r="B435" s="16" t="s">
        <v>50</v>
      </c>
      <c r="C435" s="16" t="s">
        <v>72</v>
      </c>
      <c r="D435" s="16" t="s">
        <v>500</v>
      </c>
      <c r="E435" s="30">
        <v>90.0</v>
      </c>
      <c r="F435" s="16">
        <v>0.0</v>
      </c>
      <c r="G435" s="16">
        <v>170.0</v>
      </c>
      <c r="H435" s="31" t="s">
        <v>71</v>
      </c>
    </row>
    <row r="436" ht="15.75" customHeight="1">
      <c r="B436" s="16" t="s">
        <v>50</v>
      </c>
      <c r="C436" s="16" t="s">
        <v>77</v>
      </c>
      <c r="D436" s="16" t="s">
        <v>501</v>
      </c>
      <c r="E436" s="30">
        <v>90.0</v>
      </c>
      <c r="F436" s="16">
        <v>3.0</v>
      </c>
      <c r="G436" s="16">
        <v>100.0</v>
      </c>
      <c r="H436" s="31" t="s">
        <v>71</v>
      </c>
    </row>
    <row r="437" ht="15.75" customHeight="1">
      <c r="B437" s="16" t="s">
        <v>50</v>
      </c>
      <c r="C437" s="16" t="s">
        <v>72</v>
      </c>
      <c r="D437" s="16" t="s">
        <v>502</v>
      </c>
      <c r="E437" s="30">
        <v>95.0</v>
      </c>
      <c r="F437" s="16">
        <v>0.0</v>
      </c>
      <c r="G437" s="16">
        <v>300.0</v>
      </c>
      <c r="H437" s="31" t="s">
        <v>71</v>
      </c>
    </row>
    <row r="438" ht="15.75" customHeight="1">
      <c r="B438" s="16" t="s">
        <v>50</v>
      </c>
      <c r="C438" s="16" t="s">
        <v>72</v>
      </c>
      <c r="D438" s="16" t="s">
        <v>503</v>
      </c>
      <c r="E438" s="30">
        <v>105.0</v>
      </c>
      <c r="F438" s="16">
        <v>4.9</v>
      </c>
      <c r="G438" s="16">
        <v>300.0</v>
      </c>
      <c r="H438" s="31" t="s">
        <v>71</v>
      </c>
    </row>
    <row r="439" ht="15.75" customHeight="1">
      <c r="B439" s="16" t="s">
        <v>50</v>
      </c>
      <c r="C439" s="16" t="s">
        <v>72</v>
      </c>
      <c r="D439" s="16" t="s">
        <v>504</v>
      </c>
      <c r="E439" s="30">
        <v>105.0</v>
      </c>
      <c r="F439" s="16">
        <v>4.9</v>
      </c>
      <c r="G439" s="16">
        <v>300.0</v>
      </c>
      <c r="H439" s="31" t="s">
        <v>71</v>
      </c>
    </row>
    <row r="440" ht="15.75" customHeight="1">
      <c r="B440" s="16" t="s">
        <v>50</v>
      </c>
      <c r="C440" s="16" t="s">
        <v>77</v>
      </c>
      <c r="D440" s="16" t="s">
        <v>505</v>
      </c>
      <c r="E440" s="30">
        <v>105.0</v>
      </c>
      <c r="F440" s="16">
        <v>5.0</v>
      </c>
      <c r="G440" s="16">
        <v>230.0</v>
      </c>
      <c r="H440" s="31" t="s">
        <v>71</v>
      </c>
    </row>
    <row r="441" ht="15.75" customHeight="1">
      <c r="B441" s="16" t="s">
        <v>50</v>
      </c>
      <c r="C441" s="16" t="s">
        <v>72</v>
      </c>
      <c r="D441" s="16" t="s">
        <v>506</v>
      </c>
      <c r="E441" s="30">
        <v>115.0</v>
      </c>
      <c r="F441" s="16">
        <v>4.9</v>
      </c>
      <c r="G441" s="16">
        <v>400.0</v>
      </c>
      <c r="H441" s="31" t="s">
        <v>71</v>
      </c>
    </row>
    <row r="442" ht="15.75" customHeight="1">
      <c r="B442" s="16" t="s">
        <v>50</v>
      </c>
      <c r="C442" s="16" t="s">
        <v>72</v>
      </c>
      <c r="D442" s="16" t="s">
        <v>507</v>
      </c>
      <c r="E442" s="30">
        <v>115.0</v>
      </c>
      <c r="F442" s="16">
        <v>4.8</v>
      </c>
      <c r="G442" s="16">
        <v>300.0</v>
      </c>
      <c r="H442" s="31" t="s">
        <v>71</v>
      </c>
    </row>
    <row r="443" ht="15.75" customHeight="1">
      <c r="B443" s="16" t="s">
        <v>50</v>
      </c>
      <c r="C443" s="16" t="s">
        <v>72</v>
      </c>
      <c r="D443" s="16" t="s">
        <v>508</v>
      </c>
      <c r="E443" s="30">
        <v>115.0</v>
      </c>
      <c r="F443" s="16">
        <v>5.0</v>
      </c>
      <c r="G443" s="16">
        <v>400.0</v>
      </c>
      <c r="H443" s="31" t="s">
        <v>71</v>
      </c>
    </row>
    <row r="444" ht="15.75" customHeight="1">
      <c r="B444" s="16" t="s">
        <v>50</v>
      </c>
      <c r="C444" s="16" t="s">
        <v>72</v>
      </c>
      <c r="D444" s="16" t="s">
        <v>324</v>
      </c>
      <c r="E444" s="30">
        <v>120.0</v>
      </c>
      <c r="F444" s="16">
        <v>0.0</v>
      </c>
      <c r="G444" s="16">
        <v>250.0</v>
      </c>
      <c r="H444" s="31" t="s">
        <v>71</v>
      </c>
    </row>
    <row r="445" ht="15.75" customHeight="1">
      <c r="B445" s="16" t="s">
        <v>50</v>
      </c>
      <c r="C445" s="16" t="s">
        <v>77</v>
      </c>
      <c r="D445" s="16" t="s">
        <v>509</v>
      </c>
      <c r="E445" s="30">
        <v>120.0</v>
      </c>
      <c r="F445" s="16">
        <v>0.0</v>
      </c>
      <c r="G445" s="16">
        <v>100.0</v>
      </c>
      <c r="H445" s="31" t="s">
        <v>71</v>
      </c>
    </row>
    <row r="446" ht="15.75" customHeight="1">
      <c r="B446" s="16" t="s">
        <v>50</v>
      </c>
      <c r="C446" s="16" t="s">
        <v>77</v>
      </c>
      <c r="D446" s="16" t="s">
        <v>510</v>
      </c>
      <c r="E446" s="30">
        <v>150.0</v>
      </c>
      <c r="F446" s="16">
        <v>0.0</v>
      </c>
      <c r="G446" s="16">
        <v>50.0</v>
      </c>
      <c r="H446" s="31" t="s">
        <v>71</v>
      </c>
    </row>
    <row r="447" ht="15.75" customHeight="1">
      <c r="B447" s="16" t="s">
        <v>50</v>
      </c>
      <c r="C447" s="16" t="s">
        <v>77</v>
      </c>
      <c r="D447" s="16" t="s">
        <v>511</v>
      </c>
      <c r="E447" s="30">
        <v>165.0</v>
      </c>
      <c r="F447" s="16">
        <v>4.8</v>
      </c>
      <c r="G447" s="16">
        <v>230.0</v>
      </c>
      <c r="H447" s="31" t="s">
        <v>71</v>
      </c>
    </row>
    <row r="448" ht="15.75" customHeight="1">
      <c r="B448" s="16" t="s">
        <v>11</v>
      </c>
      <c r="C448" s="16" t="s">
        <v>477</v>
      </c>
      <c r="D448" s="16" t="s">
        <v>512</v>
      </c>
      <c r="E448" s="30">
        <v>18.0</v>
      </c>
      <c r="F448" s="16">
        <v>5.0</v>
      </c>
      <c r="G448" s="16">
        <v>120.0</v>
      </c>
      <c r="H448" s="31" t="s">
        <v>71</v>
      </c>
    </row>
    <row r="449" ht="15.75" customHeight="1">
      <c r="B449" s="16" t="s">
        <v>11</v>
      </c>
      <c r="C449" s="16" t="s">
        <v>142</v>
      </c>
      <c r="D449" s="16" t="s">
        <v>513</v>
      </c>
      <c r="E449" s="30">
        <v>20.0</v>
      </c>
      <c r="F449" s="16">
        <v>0.0</v>
      </c>
      <c r="G449" s="16">
        <v>150.0</v>
      </c>
      <c r="H449" s="31" t="s">
        <v>71</v>
      </c>
    </row>
    <row r="450" ht="15.75" customHeight="1">
      <c r="B450" s="16" t="s">
        <v>11</v>
      </c>
      <c r="C450" s="16" t="s">
        <v>142</v>
      </c>
      <c r="D450" s="16" t="s">
        <v>514</v>
      </c>
      <c r="E450" s="30">
        <v>20.0</v>
      </c>
      <c r="F450" s="16">
        <v>0.0</v>
      </c>
      <c r="G450" s="16">
        <v>400.0</v>
      </c>
      <c r="H450" s="31" t="s">
        <v>71</v>
      </c>
    </row>
    <row r="451" ht="15.75" customHeight="1">
      <c r="B451" s="16" t="s">
        <v>11</v>
      </c>
      <c r="C451" s="16" t="s">
        <v>477</v>
      </c>
      <c r="D451" s="16" t="s">
        <v>515</v>
      </c>
      <c r="E451" s="30">
        <v>22.0</v>
      </c>
      <c r="F451" s="16">
        <v>0.0</v>
      </c>
      <c r="G451" s="16">
        <v>60.0</v>
      </c>
      <c r="H451" s="31" t="s">
        <v>71</v>
      </c>
    </row>
    <row r="452" ht="15.75" customHeight="1">
      <c r="B452" s="16" t="s">
        <v>11</v>
      </c>
      <c r="C452" s="16" t="s">
        <v>72</v>
      </c>
      <c r="D452" s="16" t="s">
        <v>516</v>
      </c>
      <c r="E452" s="30">
        <v>25.0</v>
      </c>
      <c r="F452" s="16">
        <v>0.0</v>
      </c>
      <c r="G452" s="16">
        <v>300.0</v>
      </c>
      <c r="H452" s="31" t="s">
        <v>71</v>
      </c>
    </row>
    <row r="453" ht="15.75" customHeight="1">
      <c r="B453" s="16" t="s">
        <v>11</v>
      </c>
      <c r="C453" s="16" t="s">
        <v>77</v>
      </c>
      <c r="D453" s="16" t="s">
        <v>517</v>
      </c>
      <c r="E453" s="30">
        <v>25.0</v>
      </c>
      <c r="F453" s="16">
        <v>4.6</v>
      </c>
      <c r="G453" s="16">
        <v>200.0</v>
      </c>
      <c r="H453" s="31" t="s">
        <v>71</v>
      </c>
    </row>
    <row r="454" ht="15.75" customHeight="1">
      <c r="B454" s="16" t="s">
        <v>11</v>
      </c>
      <c r="C454" s="16" t="s">
        <v>142</v>
      </c>
      <c r="D454" s="16" t="s">
        <v>518</v>
      </c>
      <c r="E454" s="30">
        <v>25.0</v>
      </c>
      <c r="F454" s="16">
        <v>5.0</v>
      </c>
      <c r="G454" s="16">
        <v>85.0</v>
      </c>
      <c r="H454" s="31" t="s">
        <v>71</v>
      </c>
    </row>
    <row r="455" ht="15.75" customHeight="1">
      <c r="B455" s="16" t="s">
        <v>11</v>
      </c>
      <c r="C455" s="16" t="s">
        <v>142</v>
      </c>
      <c r="D455" s="16" t="s">
        <v>519</v>
      </c>
      <c r="E455" s="30">
        <v>25.0</v>
      </c>
      <c r="F455" s="16">
        <v>0.0</v>
      </c>
      <c r="G455" s="16">
        <v>60.0</v>
      </c>
      <c r="H455" s="31" t="s">
        <v>71</v>
      </c>
    </row>
    <row r="456" ht="15.75" customHeight="1">
      <c r="B456" s="16" t="s">
        <v>11</v>
      </c>
      <c r="C456" s="16" t="s">
        <v>142</v>
      </c>
      <c r="D456" s="16" t="s">
        <v>520</v>
      </c>
      <c r="E456" s="30">
        <v>25.0</v>
      </c>
      <c r="F456" s="16">
        <v>0.0</v>
      </c>
      <c r="G456" s="16">
        <v>130.0</v>
      </c>
      <c r="H456" s="31" t="s">
        <v>71</v>
      </c>
    </row>
    <row r="457" ht="15.75" customHeight="1">
      <c r="B457" s="16" t="s">
        <v>11</v>
      </c>
      <c r="C457" s="16" t="s">
        <v>477</v>
      </c>
      <c r="D457" s="16" t="s">
        <v>521</v>
      </c>
      <c r="E457" s="30">
        <v>25.0</v>
      </c>
      <c r="F457" s="16">
        <v>0.0</v>
      </c>
      <c r="G457" s="16">
        <v>900.0</v>
      </c>
      <c r="H457" s="31" t="s">
        <v>71</v>
      </c>
    </row>
    <row r="458" ht="15.75" customHeight="1">
      <c r="B458" s="16" t="s">
        <v>11</v>
      </c>
      <c r="C458" s="16" t="s">
        <v>477</v>
      </c>
      <c r="D458" s="16" t="s">
        <v>522</v>
      </c>
      <c r="E458" s="30">
        <v>25.0</v>
      </c>
      <c r="F458" s="16">
        <v>0.0</v>
      </c>
      <c r="G458" s="16">
        <v>60.0</v>
      </c>
      <c r="H458" s="31" t="s">
        <v>71</v>
      </c>
    </row>
    <row r="459" ht="15.75" customHeight="1">
      <c r="B459" s="16" t="s">
        <v>11</v>
      </c>
      <c r="C459" s="16" t="s">
        <v>142</v>
      </c>
      <c r="D459" s="16" t="s">
        <v>523</v>
      </c>
      <c r="E459" s="30">
        <v>27.0</v>
      </c>
      <c r="F459" s="16">
        <v>5.0</v>
      </c>
      <c r="G459" s="16">
        <v>50.0</v>
      </c>
      <c r="H459" s="31" t="s">
        <v>71</v>
      </c>
    </row>
    <row r="460" ht="15.75" customHeight="1">
      <c r="B460" s="16" t="s">
        <v>11</v>
      </c>
      <c r="C460" s="16" t="s">
        <v>142</v>
      </c>
      <c r="D460" s="16" t="s">
        <v>524</v>
      </c>
      <c r="E460" s="30">
        <v>28.5</v>
      </c>
      <c r="F460" s="16">
        <v>0.0</v>
      </c>
      <c r="G460" s="16">
        <v>180.0</v>
      </c>
      <c r="H460" s="31" t="s">
        <v>71</v>
      </c>
    </row>
    <row r="461" ht="15.75" customHeight="1">
      <c r="B461" s="16" t="s">
        <v>11</v>
      </c>
      <c r="C461" s="16" t="s">
        <v>77</v>
      </c>
      <c r="D461" s="16" t="s">
        <v>525</v>
      </c>
      <c r="E461" s="30">
        <v>30.0</v>
      </c>
      <c r="F461" s="16">
        <v>0.0</v>
      </c>
      <c r="G461" s="16">
        <v>50.0</v>
      </c>
      <c r="H461" s="31" t="s">
        <v>71</v>
      </c>
    </row>
    <row r="462" ht="15.75" customHeight="1">
      <c r="B462" s="16" t="s">
        <v>11</v>
      </c>
      <c r="C462" s="16" t="s">
        <v>77</v>
      </c>
      <c r="D462" s="16" t="s">
        <v>526</v>
      </c>
      <c r="E462" s="30">
        <v>30.0</v>
      </c>
      <c r="F462" s="16">
        <v>5.0</v>
      </c>
      <c r="G462" s="16">
        <v>80.0</v>
      </c>
      <c r="H462" s="31" t="s">
        <v>71</v>
      </c>
    </row>
    <row r="463" ht="15.75" customHeight="1">
      <c r="B463" s="16" t="s">
        <v>11</v>
      </c>
      <c r="C463" s="16" t="s">
        <v>142</v>
      </c>
      <c r="D463" s="16" t="s">
        <v>527</v>
      </c>
      <c r="E463" s="30">
        <v>30.0</v>
      </c>
      <c r="F463" s="16">
        <v>0.0</v>
      </c>
      <c r="G463" s="16">
        <v>60.0</v>
      </c>
      <c r="H463" s="31" t="s">
        <v>71</v>
      </c>
    </row>
    <row r="464" ht="15.75" customHeight="1">
      <c r="B464" s="16" t="s">
        <v>11</v>
      </c>
      <c r="C464" s="16" t="s">
        <v>142</v>
      </c>
      <c r="D464" s="16" t="s">
        <v>528</v>
      </c>
      <c r="E464" s="30">
        <v>30.0</v>
      </c>
      <c r="F464" s="16">
        <v>0.0</v>
      </c>
      <c r="G464" s="16">
        <v>3000.0</v>
      </c>
      <c r="H464" s="31" t="s">
        <v>71</v>
      </c>
    </row>
    <row r="465" ht="15.75" customHeight="1">
      <c r="B465" s="16" t="s">
        <v>11</v>
      </c>
      <c r="C465" s="16" t="s">
        <v>142</v>
      </c>
      <c r="D465" s="16" t="s">
        <v>529</v>
      </c>
      <c r="E465" s="30">
        <v>30.0</v>
      </c>
      <c r="F465" s="16">
        <v>0.0</v>
      </c>
      <c r="G465" s="16">
        <v>150.0</v>
      </c>
      <c r="H465" s="31" t="s">
        <v>71</v>
      </c>
    </row>
    <row r="466" ht="15.75" customHeight="1">
      <c r="B466" s="16" t="s">
        <v>11</v>
      </c>
      <c r="C466" s="16" t="s">
        <v>477</v>
      </c>
      <c r="D466" s="16" t="s">
        <v>530</v>
      </c>
      <c r="E466" s="30">
        <v>30.0</v>
      </c>
      <c r="F466" s="16">
        <v>0.0</v>
      </c>
      <c r="G466" s="16">
        <v>50.0</v>
      </c>
      <c r="H466" s="31" t="s">
        <v>71</v>
      </c>
    </row>
    <row r="467" ht="15.75" customHeight="1">
      <c r="B467" s="16" t="s">
        <v>11</v>
      </c>
      <c r="C467" s="16" t="s">
        <v>72</v>
      </c>
      <c r="D467" s="16" t="s">
        <v>531</v>
      </c>
      <c r="E467" s="30">
        <v>32.5</v>
      </c>
      <c r="F467" s="16">
        <v>0.0</v>
      </c>
      <c r="G467" s="16">
        <v>100.0</v>
      </c>
      <c r="H467" s="31" t="s">
        <v>71</v>
      </c>
    </row>
    <row r="468" ht="15.75" customHeight="1">
      <c r="B468" s="16" t="s">
        <v>11</v>
      </c>
      <c r="C468" s="16" t="s">
        <v>77</v>
      </c>
      <c r="D468" s="16" t="s">
        <v>532</v>
      </c>
      <c r="E468" s="30">
        <v>33.0</v>
      </c>
      <c r="F468" s="16">
        <v>5.0</v>
      </c>
      <c r="G468" s="16">
        <v>110.0</v>
      </c>
      <c r="H468" s="31" t="s">
        <v>71</v>
      </c>
    </row>
    <row r="469" ht="15.75" customHeight="1">
      <c r="B469" s="16" t="s">
        <v>11</v>
      </c>
      <c r="C469" s="16" t="s">
        <v>77</v>
      </c>
      <c r="D469" s="16" t="s">
        <v>533</v>
      </c>
      <c r="E469" s="30">
        <v>34.5</v>
      </c>
      <c r="F469" s="16">
        <v>0.0</v>
      </c>
      <c r="G469" s="16">
        <v>600.0</v>
      </c>
      <c r="H469" s="31" t="s">
        <v>71</v>
      </c>
    </row>
    <row r="470" ht="15.75" customHeight="1">
      <c r="B470" s="16" t="s">
        <v>11</v>
      </c>
      <c r="C470" s="16" t="s">
        <v>72</v>
      </c>
      <c r="D470" s="16" t="s">
        <v>534</v>
      </c>
      <c r="E470" s="30">
        <v>35.0</v>
      </c>
      <c r="F470" s="16">
        <v>4.7</v>
      </c>
      <c r="G470" s="16">
        <v>200.0</v>
      </c>
      <c r="H470" s="31" t="s">
        <v>71</v>
      </c>
    </row>
    <row r="471" ht="15.75" customHeight="1">
      <c r="B471" s="16" t="s">
        <v>11</v>
      </c>
      <c r="C471" s="16" t="s">
        <v>72</v>
      </c>
      <c r="D471" s="16" t="s">
        <v>535</v>
      </c>
      <c r="E471" s="30">
        <v>35.0</v>
      </c>
      <c r="F471" s="16">
        <v>5.0</v>
      </c>
      <c r="G471" s="16">
        <v>650.0</v>
      </c>
      <c r="H471" s="31" t="s">
        <v>71</v>
      </c>
    </row>
    <row r="472" ht="15.75" customHeight="1">
      <c r="B472" s="16" t="s">
        <v>11</v>
      </c>
      <c r="C472" s="16" t="s">
        <v>142</v>
      </c>
      <c r="D472" s="16" t="s">
        <v>536</v>
      </c>
      <c r="E472" s="30">
        <v>35.0</v>
      </c>
      <c r="F472" s="16">
        <v>0.0</v>
      </c>
      <c r="G472" s="16">
        <v>200.0</v>
      </c>
      <c r="H472" s="31" t="s">
        <v>71</v>
      </c>
    </row>
    <row r="473" ht="15.75" customHeight="1">
      <c r="B473" s="16" t="s">
        <v>11</v>
      </c>
      <c r="C473" s="16" t="s">
        <v>142</v>
      </c>
      <c r="D473" s="16" t="s">
        <v>537</v>
      </c>
      <c r="E473" s="30">
        <v>35.0</v>
      </c>
      <c r="F473" s="16">
        <v>0.0</v>
      </c>
      <c r="G473" s="16">
        <v>1000.0</v>
      </c>
      <c r="H473" s="31" t="s">
        <v>71</v>
      </c>
    </row>
    <row r="474" ht="15.75" customHeight="1">
      <c r="B474" s="16" t="s">
        <v>11</v>
      </c>
      <c r="C474" s="16" t="s">
        <v>477</v>
      </c>
      <c r="D474" s="16" t="s">
        <v>538</v>
      </c>
      <c r="E474" s="30">
        <v>35.0</v>
      </c>
      <c r="F474" s="16">
        <v>0.0</v>
      </c>
      <c r="G474" s="16">
        <v>16.0</v>
      </c>
      <c r="H474" s="31" t="s">
        <v>71</v>
      </c>
    </row>
    <row r="475" ht="15.75" customHeight="1">
      <c r="B475" s="16" t="s">
        <v>11</v>
      </c>
      <c r="C475" s="16" t="s">
        <v>142</v>
      </c>
      <c r="D475" s="16" t="s">
        <v>539</v>
      </c>
      <c r="E475" s="30">
        <v>37.5</v>
      </c>
      <c r="F475" s="16">
        <v>0.0</v>
      </c>
      <c r="G475" s="16">
        <v>150.0</v>
      </c>
      <c r="H475" s="31" t="s">
        <v>71</v>
      </c>
    </row>
    <row r="476" ht="15.75" customHeight="1">
      <c r="B476" s="16" t="s">
        <v>11</v>
      </c>
      <c r="C476" s="16" t="s">
        <v>72</v>
      </c>
      <c r="D476" s="16" t="s">
        <v>540</v>
      </c>
      <c r="E476" s="30">
        <v>40.0</v>
      </c>
      <c r="F476" s="16">
        <v>4.8</v>
      </c>
      <c r="G476" s="16">
        <v>300.0</v>
      </c>
      <c r="H476" s="31" t="s">
        <v>71</v>
      </c>
    </row>
    <row r="477" ht="15.75" customHeight="1">
      <c r="B477" s="16" t="s">
        <v>11</v>
      </c>
      <c r="C477" s="16" t="s">
        <v>142</v>
      </c>
      <c r="D477" s="16" t="s">
        <v>541</v>
      </c>
      <c r="E477" s="30">
        <v>40.0</v>
      </c>
      <c r="F477" s="16">
        <v>5.0</v>
      </c>
      <c r="G477" s="16">
        <v>110.0</v>
      </c>
      <c r="H477" s="31" t="s">
        <v>71</v>
      </c>
    </row>
    <row r="478" ht="15.75" customHeight="1">
      <c r="B478" s="16" t="s">
        <v>11</v>
      </c>
      <c r="C478" s="16" t="s">
        <v>142</v>
      </c>
      <c r="D478" s="16" t="s">
        <v>542</v>
      </c>
      <c r="E478" s="30">
        <v>40.0</v>
      </c>
      <c r="F478" s="16">
        <v>0.0</v>
      </c>
      <c r="G478" s="16">
        <v>150.0</v>
      </c>
      <c r="H478" s="31" t="s">
        <v>71</v>
      </c>
    </row>
    <row r="479" ht="15.75" customHeight="1">
      <c r="B479" s="16" t="s">
        <v>11</v>
      </c>
      <c r="C479" s="16" t="s">
        <v>142</v>
      </c>
      <c r="D479" s="16" t="s">
        <v>543</v>
      </c>
      <c r="E479" s="30">
        <v>40.0</v>
      </c>
      <c r="F479" s="16">
        <v>5.0</v>
      </c>
      <c r="G479" s="16">
        <v>800.0</v>
      </c>
      <c r="H479" s="31" t="s">
        <v>71</v>
      </c>
    </row>
    <row r="480" ht="15.75" customHeight="1">
      <c r="B480" s="16" t="s">
        <v>11</v>
      </c>
      <c r="C480" s="16" t="s">
        <v>142</v>
      </c>
      <c r="D480" s="16" t="s">
        <v>544</v>
      </c>
      <c r="E480" s="30">
        <v>40.0</v>
      </c>
      <c r="F480" s="16">
        <v>0.0</v>
      </c>
      <c r="G480" s="16">
        <v>50.0</v>
      </c>
      <c r="H480" s="31" t="s">
        <v>71</v>
      </c>
    </row>
    <row r="481" ht="15.75" customHeight="1">
      <c r="B481" s="16" t="s">
        <v>11</v>
      </c>
      <c r="C481" s="16" t="s">
        <v>142</v>
      </c>
      <c r="D481" s="16" t="s">
        <v>545</v>
      </c>
      <c r="E481" s="30">
        <v>40.0</v>
      </c>
      <c r="F481" s="16">
        <v>0.0</v>
      </c>
      <c r="G481" s="16">
        <v>70.0</v>
      </c>
      <c r="H481" s="31" t="s">
        <v>71</v>
      </c>
    </row>
    <row r="482" ht="15.75" customHeight="1">
      <c r="B482" s="16" t="s">
        <v>11</v>
      </c>
      <c r="C482" s="16" t="s">
        <v>142</v>
      </c>
      <c r="D482" s="16" t="s">
        <v>546</v>
      </c>
      <c r="E482" s="30">
        <v>40.0</v>
      </c>
      <c r="F482" s="16">
        <v>0.0</v>
      </c>
      <c r="G482" s="16">
        <v>500.0</v>
      </c>
      <c r="H482" s="31" t="s">
        <v>71</v>
      </c>
    </row>
    <row r="483" ht="15.75" customHeight="1">
      <c r="B483" s="16" t="s">
        <v>11</v>
      </c>
      <c r="C483" s="16" t="s">
        <v>142</v>
      </c>
      <c r="D483" s="16" t="s">
        <v>547</v>
      </c>
      <c r="E483" s="30">
        <v>40.0</v>
      </c>
      <c r="F483" s="16">
        <v>0.0</v>
      </c>
      <c r="G483" s="16">
        <v>550.0</v>
      </c>
      <c r="H483" s="31" t="s">
        <v>71</v>
      </c>
    </row>
    <row r="484" ht="15.75" customHeight="1">
      <c r="B484" s="16" t="s">
        <v>11</v>
      </c>
      <c r="C484" s="16" t="s">
        <v>142</v>
      </c>
      <c r="D484" s="16" t="s">
        <v>548</v>
      </c>
      <c r="E484" s="30">
        <v>42.0</v>
      </c>
      <c r="F484" s="16">
        <v>0.0</v>
      </c>
      <c r="G484" s="16">
        <v>60.0</v>
      </c>
      <c r="H484" s="31" t="s">
        <v>71</v>
      </c>
    </row>
    <row r="485" ht="15.75" customHeight="1">
      <c r="B485" s="16" t="s">
        <v>11</v>
      </c>
      <c r="C485" s="16" t="s">
        <v>142</v>
      </c>
      <c r="D485" s="16" t="s">
        <v>549</v>
      </c>
      <c r="E485" s="30">
        <v>42.0</v>
      </c>
      <c r="F485" s="16">
        <v>0.0</v>
      </c>
      <c r="G485" s="16">
        <v>150.0</v>
      </c>
      <c r="H485" s="31" t="s">
        <v>71</v>
      </c>
    </row>
    <row r="486" ht="15.75" customHeight="1">
      <c r="B486" s="16" t="s">
        <v>11</v>
      </c>
      <c r="C486" s="16" t="s">
        <v>72</v>
      </c>
      <c r="D486" s="16" t="s">
        <v>550</v>
      </c>
      <c r="E486" s="30">
        <v>45.0</v>
      </c>
      <c r="F486" s="16">
        <v>5.0</v>
      </c>
      <c r="G486" s="16">
        <v>230.0</v>
      </c>
      <c r="H486" s="31" t="s">
        <v>71</v>
      </c>
    </row>
    <row r="487" ht="15.75" customHeight="1">
      <c r="B487" s="16" t="s">
        <v>11</v>
      </c>
      <c r="C487" s="16" t="s">
        <v>72</v>
      </c>
      <c r="D487" s="16" t="s">
        <v>551</v>
      </c>
      <c r="E487" s="30">
        <v>45.0</v>
      </c>
      <c r="F487" s="16">
        <v>0.0</v>
      </c>
      <c r="G487" s="16">
        <v>1500.0</v>
      </c>
      <c r="H487" s="31" t="s">
        <v>71</v>
      </c>
    </row>
    <row r="488" ht="15.75" customHeight="1">
      <c r="B488" s="16" t="s">
        <v>11</v>
      </c>
      <c r="C488" s="16" t="s">
        <v>142</v>
      </c>
      <c r="D488" s="16" t="s">
        <v>552</v>
      </c>
      <c r="E488" s="30">
        <v>45.0</v>
      </c>
      <c r="F488" s="16">
        <v>0.0</v>
      </c>
      <c r="G488" s="16">
        <v>100.0</v>
      </c>
      <c r="H488" s="31" t="s">
        <v>71</v>
      </c>
    </row>
    <row r="489" ht="15.75" customHeight="1">
      <c r="B489" s="16" t="s">
        <v>11</v>
      </c>
      <c r="C489" s="16" t="s">
        <v>142</v>
      </c>
      <c r="D489" s="16" t="s">
        <v>553</v>
      </c>
      <c r="E489" s="30">
        <v>45.0</v>
      </c>
      <c r="F489" s="16">
        <v>0.0</v>
      </c>
      <c r="G489" s="16">
        <v>120.0</v>
      </c>
      <c r="H489" s="31" t="s">
        <v>71</v>
      </c>
    </row>
    <row r="490" ht="15.75" customHeight="1">
      <c r="B490" s="16" t="s">
        <v>11</v>
      </c>
      <c r="C490" s="16" t="s">
        <v>142</v>
      </c>
      <c r="D490" s="16" t="s">
        <v>554</v>
      </c>
      <c r="E490" s="30">
        <v>45.0</v>
      </c>
      <c r="F490" s="16">
        <v>0.0</v>
      </c>
      <c r="G490" s="16">
        <v>1000.0</v>
      </c>
      <c r="H490" s="31" t="s">
        <v>71</v>
      </c>
    </row>
    <row r="491" ht="15.75" customHeight="1">
      <c r="B491" s="16" t="s">
        <v>11</v>
      </c>
      <c r="C491" s="16" t="s">
        <v>142</v>
      </c>
      <c r="D491" s="16" t="s">
        <v>555</v>
      </c>
      <c r="E491" s="30">
        <v>45.0</v>
      </c>
      <c r="F491" s="16">
        <v>0.0</v>
      </c>
      <c r="G491" s="16">
        <v>150.0</v>
      </c>
      <c r="H491" s="31" t="s">
        <v>71</v>
      </c>
    </row>
    <row r="492" ht="15.75" customHeight="1">
      <c r="B492" s="16" t="s">
        <v>11</v>
      </c>
      <c r="C492" s="16" t="s">
        <v>142</v>
      </c>
      <c r="D492" s="16" t="s">
        <v>556</v>
      </c>
      <c r="E492" s="30">
        <v>45.0</v>
      </c>
      <c r="F492" s="16">
        <v>0.0</v>
      </c>
      <c r="G492" s="16">
        <v>110.0</v>
      </c>
      <c r="H492" s="31" t="s">
        <v>71</v>
      </c>
    </row>
    <row r="493" ht="15.75" customHeight="1">
      <c r="B493" s="16" t="s">
        <v>11</v>
      </c>
      <c r="C493" s="16" t="s">
        <v>142</v>
      </c>
      <c r="D493" s="16" t="s">
        <v>557</v>
      </c>
      <c r="E493" s="30">
        <v>45.0</v>
      </c>
      <c r="F493" s="16">
        <v>0.0</v>
      </c>
      <c r="G493" s="16">
        <v>100.0</v>
      </c>
      <c r="H493" s="31" t="s">
        <v>71</v>
      </c>
    </row>
    <row r="494" ht="15.75" customHeight="1">
      <c r="B494" s="16" t="s">
        <v>11</v>
      </c>
      <c r="C494" s="16" t="s">
        <v>77</v>
      </c>
      <c r="D494" s="16" t="s">
        <v>558</v>
      </c>
      <c r="E494" s="30">
        <v>46.0</v>
      </c>
      <c r="F494" s="16">
        <v>0.0</v>
      </c>
      <c r="G494" s="16">
        <v>120.0</v>
      </c>
      <c r="H494" s="31" t="s">
        <v>71</v>
      </c>
    </row>
    <row r="495" ht="15.75" customHeight="1">
      <c r="B495" s="16" t="s">
        <v>11</v>
      </c>
      <c r="C495" s="16" t="s">
        <v>77</v>
      </c>
      <c r="D495" s="16" t="s">
        <v>559</v>
      </c>
      <c r="E495" s="30">
        <v>46.0</v>
      </c>
      <c r="F495" s="16">
        <v>4.9</v>
      </c>
      <c r="G495" s="16">
        <v>180.0</v>
      </c>
      <c r="H495" s="31" t="s">
        <v>71</v>
      </c>
    </row>
    <row r="496" ht="15.75" customHeight="1">
      <c r="B496" s="16" t="s">
        <v>11</v>
      </c>
      <c r="C496" s="16" t="s">
        <v>142</v>
      </c>
      <c r="D496" s="16" t="s">
        <v>560</v>
      </c>
      <c r="E496" s="30">
        <v>46.0</v>
      </c>
      <c r="F496" s="16">
        <v>0.0</v>
      </c>
      <c r="G496" s="16">
        <v>100.0</v>
      </c>
      <c r="H496" s="31" t="s">
        <v>71</v>
      </c>
    </row>
    <row r="497" ht="15.75" customHeight="1">
      <c r="B497" s="16" t="s">
        <v>11</v>
      </c>
      <c r="C497" s="16" t="s">
        <v>142</v>
      </c>
      <c r="D497" s="16" t="s">
        <v>561</v>
      </c>
      <c r="E497" s="30">
        <v>48.0</v>
      </c>
      <c r="F497" s="16">
        <v>0.0</v>
      </c>
      <c r="G497" s="16">
        <v>150.0</v>
      </c>
      <c r="H497" s="31" t="s">
        <v>71</v>
      </c>
    </row>
    <row r="498" ht="15.75" customHeight="1">
      <c r="B498" s="16" t="s">
        <v>11</v>
      </c>
      <c r="C498" s="16" t="s">
        <v>142</v>
      </c>
      <c r="D498" s="16" t="s">
        <v>562</v>
      </c>
      <c r="E498" s="30">
        <v>49.0</v>
      </c>
      <c r="F498" s="16">
        <v>5.0</v>
      </c>
      <c r="G498" s="16">
        <v>120.0</v>
      </c>
      <c r="H498" s="31" t="s">
        <v>71</v>
      </c>
    </row>
    <row r="499" ht="15.75" customHeight="1">
      <c r="B499" s="16" t="s">
        <v>11</v>
      </c>
      <c r="C499" s="16" t="s">
        <v>72</v>
      </c>
      <c r="D499" s="16" t="s">
        <v>277</v>
      </c>
      <c r="E499" s="30">
        <v>50.0</v>
      </c>
      <c r="F499" s="16">
        <v>4.7</v>
      </c>
      <c r="G499" s="16">
        <v>360.0</v>
      </c>
      <c r="H499" s="31" t="s">
        <v>71</v>
      </c>
    </row>
    <row r="500" ht="15.75" customHeight="1">
      <c r="B500" s="16" t="s">
        <v>11</v>
      </c>
      <c r="C500" s="16" t="s">
        <v>72</v>
      </c>
      <c r="D500" s="16" t="s">
        <v>563</v>
      </c>
      <c r="E500" s="30">
        <v>50.0</v>
      </c>
      <c r="F500" s="16">
        <v>0.0</v>
      </c>
      <c r="G500" s="16">
        <v>150.0</v>
      </c>
      <c r="H500" s="31" t="s">
        <v>71</v>
      </c>
    </row>
    <row r="501" ht="15.75" customHeight="1">
      <c r="B501" s="16" t="s">
        <v>11</v>
      </c>
      <c r="C501" s="16" t="s">
        <v>72</v>
      </c>
      <c r="D501" s="16" t="s">
        <v>564</v>
      </c>
      <c r="E501" s="30">
        <v>50.0</v>
      </c>
      <c r="F501" s="16">
        <v>4.6</v>
      </c>
      <c r="G501" s="16">
        <v>400.0</v>
      </c>
      <c r="H501" s="31" t="s">
        <v>71</v>
      </c>
    </row>
    <row r="502" ht="15.75" customHeight="1">
      <c r="B502" s="16" t="s">
        <v>11</v>
      </c>
      <c r="C502" s="16" t="s">
        <v>72</v>
      </c>
      <c r="D502" s="16" t="s">
        <v>565</v>
      </c>
      <c r="E502" s="30">
        <v>50.0</v>
      </c>
      <c r="F502" s="16">
        <v>4.8</v>
      </c>
      <c r="G502" s="16">
        <v>350.0</v>
      </c>
      <c r="H502" s="31" t="s">
        <v>71</v>
      </c>
    </row>
    <row r="503" ht="15.75" customHeight="1">
      <c r="B503" s="16" t="s">
        <v>11</v>
      </c>
      <c r="C503" s="16" t="s">
        <v>72</v>
      </c>
      <c r="D503" s="16" t="s">
        <v>566</v>
      </c>
      <c r="E503" s="30">
        <v>50.0</v>
      </c>
      <c r="F503" s="16">
        <v>0.0</v>
      </c>
      <c r="G503" s="16">
        <v>150.0</v>
      </c>
      <c r="H503" s="31" t="s">
        <v>71</v>
      </c>
    </row>
    <row r="504" ht="15.75" customHeight="1">
      <c r="B504" s="16" t="s">
        <v>11</v>
      </c>
      <c r="C504" s="16" t="s">
        <v>77</v>
      </c>
      <c r="D504" s="16" t="s">
        <v>567</v>
      </c>
      <c r="E504" s="30">
        <v>50.0</v>
      </c>
      <c r="F504" s="16">
        <v>0.0</v>
      </c>
      <c r="G504" s="16">
        <v>500.0</v>
      </c>
      <c r="H504" s="31" t="s">
        <v>71</v>
      </c>
    </row>
    <row r="505" ht="15.75" customHeight="1">
      <c r="B505" s="16" t="s">
        <v>11</v>
      </c>
      <c r="C505" s="16" t="s">
        <v>77</v>
      </c>
      <c r="D505" s="16" t="s">
        <v>568</v>
      </c>
      <c r="E505" s="30">
        <v>50.0</v>
      </c>
      <c r="F505" s="16">
        <v>0.0</v>
      </c>
      <c r="G505" s="16">
        <v>150.0</v>
      </c>
      <c r="H505" s="31" t="s">
        <v>71</v>
      </c>
    </row>
    <row r="506" ht="15.75" customHeight="1">
      <c r="B506" s="16" t="s">
        <v>11</v>
      </c>
      <c r="C506" s="16" t="s">
        <v>142</v>
      </c>
      <c r="D506" s="16" t="s">
        <v>569</v>
      </c>
      <c r="E506" s="30">
        <v>50.0</v>
      </c>
      <c r="F506" s="16">
        <v>4.7</v>
      </c>
      <c r="G506" s="16">
        <v>120.0</v>
      </c>
      <c r="H506" s="31" t="s">
        <v>71</v>
      </c>
    </row>
    <row r="507" ht="15.75" customHeight="1">
      <c r="B507" s="16" t="s">
        <v>11</v>
      </c>
      <c r="C507" s="16" t="s">
        <v>142</v>
      </c>
      <c r="D507" s="16" t="s">
        <v>570</v>
      </c>
      <c r="E507" s="30">
        <v>50.0</v>
      </c>
      <c r="F507" s="16">
        <v>0.0</v>
      </c>
      <c r="G507" s="16">
        <v>80.0</v>
      </c>
      <c r="H507" s="31" t="s">
        <v>71</v>
      </c>
    </row>
    <row r="508" ht="15.75" customHeight="1">
      <c r="B508" s="16" t="s">
        <v>11</v>
      </c>
      <c r="C508" s="16" t="s">
        <v>142</v>
      </c>
      <c r="D508" s="16" t="s">
        <v>571</v>
      </c>
      <c r="E508" s="30">
        <v>50.0</v>
      </c>
      <c r="F508" s="16">
        <v>0.0</v>
      </c>
      <c r="G508" s="16">
        <v>160.0</v>
      </c>
      <c r="H508" s="31" t="s">
        <v>71</v>
      </c>
    </row>
    <row r="509" ht="15.75" customHeight="1">
      <c r="B509" s="16" t="s">
        <v>11</v>
      </c>
      <c r="C509" s="16" t="s">
        <v>142</v>
      </c>
      <c r="D509" s="16" t="s">
        <v>572</v>
      </c>
      <c r="E509" s="30">
        <v>50.0</v>
      </c>
      <c r="F509" s="16">
        <v>0.0</v>
      </c>
      <c r="G509" s="16">
        <v>400.0</v>
      </c>
      <c r="H509" s="31" t="s">
        <v>71</v>
      </c>
    </row>
    <row r="510" ht="15.75" customHeight="1">
      <c r="B510" s="16" t="s">
        <v>11</v>
      </c>
      <c r="C510" s="16" t="s">
        <v>142</v>
      </c>
      <c r="D510" s="16" t="s">
        <v>573</v>
      </c>
      <c r="E510" s="30">
        <v>50.0</v>
      </c>
      <c r="F510" s="16">
        <v>0.0</v>
      </c>
      <c r="G510" s="16">
        <v>75.0</v>
      </c>
      <c r="H510" s="31" t="s">
        <v>71</v>
      </c>
    </row>
    <row r="511" ht="15.75" customHeight="1">
      <c r="B511" s="16" t="s">
        <v>11</v>
      </c>
      <c r="C511" s="16" t="s">
        <v>77</v>
      </c>
      <c r="D511" s="16" t="s">
        <v>574</v>
      </c>
      <c r="E511" s="30">
        <v>51.0</v>
      </c>
      <c r="F511" s="16">
        <v>0.0</v>
      </c>
      <c r="G511" s="16">
        <v>250.0</v>
      </c>
      <c r="H511" s="31" t="s">
        <v>71</v>
      </c>
    </row>
    <row r="512" ht="15.75" customHeight="1">
      <c r="B512" s="16" t="s">
        <v>11</v>
      </c>
      <c r="C512" s="16" t="s">
        <v>77</v>
      </c>
      <c r="D512" s="16" t="s">
        <v>575</v>
      </c>
      <c r="E512" s="30">
        <v>52.0</v>
      </c>
      <c r="F512" s="16">
        <v>5.0</v>
      </c>
      <c r="G512" s="16">
        <v>50.0</v>
      </c>
      <c r="H512" s="31" t="s">
        <v>71</v>
      </c>
    </row>
    <row r="513" ht="15.75" customHeight="1">
      <c r="B513" s="16" t="s">
        <v>11</v>
      </c>
      <c r="C513" s="16" t="s">
        <v>72</v>
      </c>
      <c r="D513" s="16" t="s">
        <v>576</v>
      </c>
      <c r="E513" s="30">
        <v>53.0</v>
      </c>
      <c r="F513" s="16">
        <v>4.8</v>
      </c>
      <c r="G513" s="16">
        <v>250.0</v>
      </c>
      <c r="H513" s="31" t="s">
        <v>71</v>
      </c>
    </row>
    <row r="514" ht="15.75" customHeight="1">
      <c r="B514" s="16" t="s">
        <v>11</v>
      </c>
      <c r="C514" s="16" t="s">
        <v>142</v>
      </c>
      <c r="D514" s="16" t="s">
        <v>577</v>
      </c>
      <c r="E514" s="30">
        <v>54.7</v>
      </c>
      <c r="F514" s="16">
        <v>5.0</v>
      </c>
      <c r="G514" s="16">
        <v>180.0</v>
      </c>
      <c r="H514" s="31" t="s">
        <v>71</v>
      </c>
    </row>
    <row r="515" ht="15.75" customHeight="1">
      <c r="B515" s="16" t="s">
        <v>11</v>
      </c>
      <c r="C515" s="16" t="s">
        <v>72</v>
      </c>
      <c r="D515" s="16" t="s">
        <v>578</v>
      </c>
      <c r="E515" s="30">
        <v>55.0</v>
      </c>
      <c r="F515" s="16">
        <v>4.8</v>
      </c>
      <c r="G515" s="16">
        <v>300.0</v>
      </c>
      <c r="H515" s="31" t="s">
        <v>71</v>
      </c>
    </row>
    <row r="516" ht="15.75" customHeight="1">
      <c r="B516" s="16" t="s">
        <v>11</v>
      </c>
      <c r="C516" s="16" t="s">
        <v>72</v>
      </c>
      <c r="D516" s="16" t="s">
        <v>579</v>
      </c>
      <c r="E516" s="30">
        <v>55.0</v>
      </c>
      <c r="F516" s="16">
        <v>4.7</v>
      </c>
      <c r="G516" s="16">
        <v>300.0</v>
      </c>
      <c r="H516" s="31" t="s">
        <v>71</v>
      </c>
    </row>
    <row r="517" ht="15.75" customHeight="1">
      <c r="B517" s="16" t="s">
        <v>11</v>
      </c>
      <c r="C517" s="16" t="s">
        <v>72</v>
      </c>
      <c r="D517" s="16" t="s">
        <v>580</v>
      </c>
      <c r="E517" s="30">
        <v>55.0</v>
      </c>
      <c r="F517" s="16">
        <v>4.9</v>
      </c>
      <c r="G517" s="16">
        <v>180.0</v>
      </c>
      <c r="H517" s="31" t="s">
        <v>71</v>
      </c>
    </row>
    <row r="518" ht="15.75" customHeight="1">
      <c r="B518" s="16" t="s">
        <v>11</v>
      </c>
      <c r="C518" s="16" t="s">
        <v>72</v>
      </c>
      <c r="D518" s="16" t="s">
        <v>581</v>
      </c>
      <c r="E518" s="30">
        <v>55.0</v>
      </c>
      <c r="F518" s="16">
        <v>4.8</v>
      </c>
      <c r="G518" s="16">
        <v>200.0</v>
      </c>
      <c r="H518" s="31" t="s">
        <v>71</v>
      </c>
    </row>
    <row r="519" ht="15.75" customHeight="1">
      <c r="B519" s="16" t="s">
        <v>11</v>
      </c>
      <c r="C519" s="16" t="s">
        <v>142</v>
      </c>
      <c r="D519" s="16" t="s">
        <v>582</v>
      </c>
      <c r="E519" s="30">
        <v>55.0</v>
      </c>
      <c r="F519" s="16">
        <v>5.0</v>
      </c>
      <c r="G519" s="16">
        <v>200.0</v>
      </c>
      <c r="H519" s="31" t="s">
        <v>71</v>
      </c>
    </row>
    <row r="520" ht="15.75" customHeight="1">
      <c r="B520" s="16" t="s">
        <v>11</v>
      </c>
      <c r="C520" s="16" t="s">
        <v>72</v>
      </c>
      <c r="D520" s="16" t="s">
        <v>583</v>
      </c>
      <c r="E520" s="30">
        <v>57.5</v>
      </c>
      <c r="F520" s="16">
        <v>4.9</v>
      </c>
      <c r="G520" s="16">
        <v>250.0</v>
      </c>
      <c r="H520" s="31" t="s">
        <v>71</v>
      </c>
    </row>
    <row r="521" ht="15.75" customHeight="1">
      <c r="B521" s="16" t="s">
        <v>11</v>
      </c>
      <c r="C521" s="16" t="s">
        <v>72</v>
      </c>
      <c r="D521" s="16" t="s">
        <v>584</v>
      </c>
      <c r="E521" s="30">
        <v>59.9</v>
      </c>
      <c r="F521" s="16">
        <v>0.0</v>
      </c>
      <c r="G521" s="16">
        <v>300.0</v>
      </c>
      <c r="H521" s="31" t="s">
        <v>71</v>
      </c>
    </row>
    <row r="522" ht="15.75" customHeight="1">
      <c r="B522" s="16" t="s">
        <v>11</v>
      </c>
      <c r="C522" s="16" t="s">
        <v>72</v>
      </c>
      <c r="D522" s="16" t="s">
        <v>585</v>
      </c>
      <c r="E522" s="30">
        <v>60.0</v>
      </c>
      <c r="F522" s="16">
        <v>4.8</v>
      </c>
      <c r="G522" s="16">
        <v>200.0</v>
      </c>
      <c r="H522" s="31" t="s">
        <v>71</v>
      </c>
    </row>
    <row r="523" ht="15.75" customHeight="1">
      <c r="B523" s="16" t="s">
        <v>11</v>
      </c>
      <c r="C523" s="16" t="s">
        <v>72</v>
      </c>
      <c r="D523" s="16" t="s">
        <v>586</v>
      </c>
      <c r="E523" s="30">
        <v>60.0</v>
      </c>
      <c r="F523" s="16">
        <v>5.0</v>
      </c>
      <c r="G523" s="16">
        <v>180.0</v>
      </c>
      <c r="H523" s="31" t="s">
        <v>71</v>
      </c>
    </row>
    <row r="524" ht="15.75" customHeight="1">
      <c r="B524" s="16" t="s">
        <v>11</v>
      </c>
      <c r="C524" s="16" t="s">
        <v>72</v>
      </c>
      <c r="D524" s="16" t="s">
        <v>587</v>
      </c>
      <c r="E524" s="30">
        <v>60.0</v>
      </c>
      <c r="F524" s="16">
        <v>4.8</v>
      </c>
      <c r="G524" s="16">
        <v>150.0</v>
      </c>
      <c r="H524" s="31" t="s">
        <v>71</v>
      </c>
    </row>
    <row r="525" ht="15.75" customHeight="1">
      <c r="B525" s="16" t="s">
        <v>11</v>
      </c>
      <c r="C525" s="16" t="s">
        <v>72</v>
      </c>
      <c r="D525" s="16" t="s">
        <v>588</v>
      </c>
      <c r="E525" s="30">
        <v>60.0</v>
      </c>
      <c r="F525" s="16">
        <v>0.0</v>
      </c>
      <c r="G525" s="16">
        <v>80.0</v>
      </c>
      <c r="H525" s="31" t="s">
        <v>71</v>
      </c>
    </row>
    <row r="526" ht="15.75" customHeight="1">
      <c r="B526" s="16" t="s">
        <v>11</v>
      </c>
      <c r="C526" s="16" t="s">
        <v>72</v>
      </c>
      <c r="D526" s="16" t="s">
        <v>111</v>
      </c>
      <c r="E526" s="30">
        <v>60.0</v>
      </c>
      <c r="F526" s="16">
        <v>5.0</v>
      </c>
      <c r="G526" s="16">
        <v>400.0</v>
      </c>
      <c r="H526" s="31" t="s">
        <v>71</v>
      </c>
    </row>
    <row r="527" ht="15.75" customHeight="1">
      <c r="B527" s="16" t="s">
        <v>11</v>
      </c>
      <c r="C527" s="16" t="s">
        <v>72</v>
      </c>
      <c r="D527" s="16" t="s">
        <v>589</v>
      </c>
      <c r="E527" s="30">
        <v>60.0</v>
      </c>
      <c r="F527" s="16">
        <v>0.0</v>
      </c>
      <c r="G527" s="16">
        <v>250.0</v>
      </c>
      <c r="H527" s="31" t="s">
        <v>71</v>
      </c>
    </row>
    <row r="528" ht="15.75" customHeight="1">
      <c r="B528" s="16" t="s">
        <v>11</v>
      </c>
      <c r="C528" s="16" t="s">
        <v>77</v>
      </c>
      <c r="D528" s="16" t="s">
        <v>590</v>
      </c>
      <c r="E528" s="30">
        <v>60.0</v>
      </c>
      <c r="F528" s="16">
        <v>0.0</v>
      </c>
      <c r="G528" s="16">
        <v>180.0</v>
      </c>
      <c r="H528" s="31" t="s">
        <v>71</v>
      </c>
    </row>
    <row r="529" ht="15.75" customHeight="1">
      <c r="B529" s="16" t="s">
        <v>11</v>
      </c>
      <c r="C529" s="16" t="s">
        <v>77</v>
      </c>
      <c r="D529" s="16" t="s">
        <v>591</v>
      </c>
      <c r="E529" s="30">
        <v>60.0</v>
      </c>
      <c r="F529" s="16">
        <v>4.8</v>
      </c>
      <c r="G529" s="16">
        <v>120.0</v>
      </c>
      <c r="H529" s="31" t="s">
        <v>71</v>
      </c>
    </row>
    <row r="530" ht="15.75" customHeight="1">
      <c r="B530" s="16" t="s">
        <v>11</v>
      </c>
      <c r="C530" s="16" t="s">
        <v>142</v>
      </c>
      <c r="D530" s="16" t="s">
        <v>592</v>
      </c>
      <c r="E530" s="30">
        <v>60.0</v>
      </c>
      <c r="F530" s="16">
        <v>0.0</v>
      </c>
      <c r="G530" s="16">
        <v>60.0</v>
      </c>
      <c r="H530" s="31" t="s">
        <v>71</v>
      </c>
    </row>
    <row r="531" ht="15.75" customHeight="1">
      <c r="B531" s="16" t="s">
        <v>11</v>
      </c>
      <c r="C531" s="16" t="s">
        <v>142</v>
      </c>
      <c r="D531" s="16" t="s">
        <v>593</v>
      </c>
      <c r="E531" s="30">
        <v>60.0</v>
      </c>
      <c r="F531" s="16">
        <v>0.0</v>
      </c>
      <c r="G531" s="16">
        <v>150.0</v>
      </c>
      <c r="H531" s="31" t="s">
        <v>71</v>
      </c>
    </row>
    <row r="532" ht="15.75" customHeight="1">
      <c r="B532" s="16" t="s">
        <v>11</v>
      </c>
      <c r="C532" s="16" t="s">
        <v>72</v>
      </c>
      <c r="D532" s="16" t="s">
        <v>594</v>
      </c>
      <c r="E532" s="30">
        <v>62.0</v>
      </c>
      <c r="F532" s="16">
        <v>0.0</v>
      </c>
      <c r="G532" s="16">
        <v>290.0</v>
      </c>
      <c r="H532" s="31" t="s">
        <v>71</v>
      </c>
    </row>
    <row r="533" ht="15.75" customHeight="1">
      <c r="B533" s="16" t="s">
        <v>11</v>
      </c>
      <c r="C533" s="16" t="s">
        <v>72</v>
      </c>
      <c r="D533" s="16" t="s">
        <v>595</v>
      </c>
      <c r="E533" s="30">
        <v>63.5</v>
      </c>
      <c r="F533" s="16">
        <v>4.9</v>
      </c>
      <c r="G533" s="16">
        <v>100.0</v>
      </c>
      <c r="H533" s="31" t="s">
        <v>71</v>
      </c>
    </row>
    <row r="534" ht="15.75" customHeight="1">
      <c r="B534" s="16" t="s">
        <v>11</v>
      </c>
      <c r="C534" s="16" t="s">
        <v>72</v>
      </c>
      <c r="D534" s="16" t="s">
        <v>596</v>
      </c>
      <c r="E534" s="30">
        <v>65.0</v>
      </c>
      <c r="F534" s="16">
        <v>4.9</v>
      </c>
      <c r="G534" s="16">
        <v>350.0</v>
      </c>
      <c r="H534" s="31" t="s">
        <v>71</v>
      </c>
    </row>
    <row r="535" ht="15.75" customHeight="1">
      <c r="B535" s="16" t="s">
        <v>11</v>
      </c>
      <c r="C535" s="16" t="s">
        <v>72</v>
      </c>
      <c r="D535" s="16" t="s">
        <v>597</v>
      </c>
      <c r="E535" s="30">
        <v>65.0</v>
      </c>
      <c r="F535" s="16">
        <v>4.9</v>
      </c>
      <c r="G535" s="16">
        <v>250.0</v>
      </c>
      <c r="H535" s="31" t="s">
        <v>71</v>
      </c>
    </row>
    <row r="536" ht="15.75" customHeight="1">
      <c r="B536" s="16" t="s">
        <v>11</v>
      </c>
      <c r="C536" s="16" t="s">
        <v>72</v>
      </c>
      <c r="D536" s="16" t="s">
        <v>598</v>
      </c>
      <c r="E536" s="30">
        <v>65.0</v>
      </c>
      <c r="F536" s="16">
        <v>5.0</v>
      </c>
      <c r="G536" s="16">
        <v>230.0</v>
      </c>
      <c r="H536" s="31" t="s">
        <v>71</v>
      </c>
    </row>
    <row r="537" ht="15.75" customHeight="1">
      <c r="B537" s="16" t="s">
        <v>11</v>
      </c>
      <c r="C537" s="16" t="s">
        <v>72</v>
      </c>
      <c r="D537" s="16" t="s">
        <v>599</v>
      </c>
      <c r="E537" s="30">
        <v>65.0</v>
      </c>
      <c r="F537" s="16">
        <v>4.9</v>
      </c>
      <c r="G537" s="16">
        <v>350.0</v>
      </c>
      <c r="H537" s="31" t="s">
        <v>71</v>
      </c>
    </row>
    <row r="538" ht="15.75" customHeight="1">
      <c r="B538" s="16" t="s">
        <v>11</v>
      </c>
      <c r="C538" s="16" t="s">
        <v>72</v>
      </c>
      <c r="D538" s="16" t="s">
        <v>600</v>
      </c>
      <c r="E538" s="30">
        <v>65.0</v>
      </c>
      <c r="F538" s="16">
        <v>4.9</v>
      </c>
      <c r="G538" s="16">
        <v>180.0</v>
      </c>
      <c r="H538" s="31" t="s">
        <v>71</v>
      </c>
    </row>
    <row r="539" ht="15.75" customHeight="1">
      <c r="B539" s="16" t="s">
        <v>11</v>
      </c>
      <c r="C539" s="16" t="s">
        <v>72</v>
      </c>
      <c r="D539" s="16" t="s">
        <v>601</v>
      </c>
      <c r="E539" s="30">
        <v>65.0</v>
      </c>
      <c r="F539" s="16">
        <v>0.0</v>
      </c>
      <c r="G539" s="16">
        <v>1000.0</v>
      </c>
      <c r="H539" s="31" t="s">
        <v>71</v>
      </c>
    </row>
    <row r="540" ht="15.75" customHeight="1">
      <c r="B540" s="16" t="s">
        <v>11</v>
      </c>
      <c r="C540" s="16" t="s">
        <v>72</v>
      </c>
      <c r="D540" s="16" t="s">
        <v>602</v>
      </c>
      <c r="E540" s="30">
        <v>65.0</v>
      </c>
      <c r="F540" s="16">
        <v>0.0</v>
      </c>
      <c r="G540" s="16">
        <v>600.0</v>
      </c>
      <c r="H540" s="31" t="s">
        <v>71</v>
      </c>
    </row>
    <row r="541" ht="15.75" customHeight="1">
      <c r="B541" s="16" t="s">
        <v>11</v>
      </c>
      <c r="C541" s="16" t="s">
        <v>77</v>
      </c>
      <c r="D541" s="16" t="s">
        <v>603</v>
      </c>
      <c r="E541" s="30">
        <v>65.0</v>
      </c>
      <c r="F541" s="16">
        <v>0.0</v>
      </c>
      <c r="G541" s="16">
        <v>180.0</v>
      </c>
      <c r="H541" s="31" t="s">
        <v>71</v>
      </c>
    </row>
    <row r="542" ht="15.75" customHeight="1">
      <c r="B542" s="16" t="s">
        <v>11</v>
      </c>
      <c r="C542" s="16" t="s">
        <v>142</v>
      </c>
      <c r="D542" s="16" t="s">
        <v>604</v>
      </c>
      <c r="E542" s="30">
        <v>65.0</v>
      </c>
      <c r="F542" s="16">
        <v>4.9</v>
      </c>
      <c r="G542" s="16">
        <v>150.0</v>
      </c>
      <c r="H542" s="31" t="s">
        <v>71</v>
      </c>
    </row>
    <row r="543" ht="15.75" customHeight="1">
      <c r="B543" s="16" t="s">
        <v>11</v>
      </c>
      <c r="C543" s="16" t="s">
        <v>142</v>
      </c>
      <c r="D543" s="16" t="s">
        <v>605</v>
      </c>
      <c r="E543" s="30">
        <v>65.0</v>
      </c>
      <c r="F543" s="16">
        <v>5.0</v>
      </c>
      <c r="G543" s="16">
        <v>150.0</v>
      </c>
      <c r="H543" s="31" t="s">
        <v>71</v>
      </c>
    </row>
    <row r="544" ht="15.75" customHeight="1">
      <c r="B544" s="16" t="s">
        <v>11</v>
      </c>
      <c r="C544" s="16" t="s">
        <v>72</v>
      </c>
      <c r="D544" s="16" t="s">
        <v>606</v>
      </c>
      <c r="E544" s="30">
        <v>69.0</v>
      </c>
      <c r="F544" s="16">
        <v>4.7</v>
      </c>
      <c r="G544" s="16">
        <v>300.0</v>
      </c>
      <c r="H544" s="31" t="s">
        <v>71</v>
      </c>
    </row>
    <row r="545" ht="15.75" customHeight="1">
      <c r="B545" s="16" t="s">
        <v>11</v>
      </c>
      <c r="C545" s="16" t="s">
        <v>77</v>
      </c>
      <c r="D545" s="16" t="s">
        <v>607</v>
      </c>
      <c r="E545" s="30">
        <v>69.0</v>
      </c>
      <c r="F545" s="16">
        <v>5.0</v>
      </c>
      <c r="G545" s="16">
        <v>250.0</v>
      </c>
      <c r="H545" s="31" t="s">
        <v>71</v>
      </c>
    </row>
    <row r="546" ht="15.75" customHeight="1">
      <c r="B546" s="16" t="s">
        <v>11</v>
      </c>
      <c r="C546" s="16" t="s">
        <v>72</v>
      </c>
      <c r="D546" s="16" t="s">
        <v>608</v>
      </c>
      <c r="E546" s="30">
        <v>69.5</v>
      </c>
      <c r="F546" s="16">
        <v>4.7</v>
      </c>
      <c r="G546" s="16">
        <v>120.0</v>
      </c>
      <c r="H546" s="31" t="s">
        <v>71</v>
      </c>
    </row>
    <row r="547" ht="15.75" customHeight="1">
      <c r="B547" s="16" t="s">
        <v>11</v>
      </c>
      <c r="C547" s="16" t="s">
        <v>72</v>
      </c>
      <c r="D547" s="16" t="s">
        <v>609</v>
      </c>
      <c r="E547" s="30">
        <v>70.0</v>
      </c>
      <c r="F547" s="16">
        <v>4.9</v>
      </c>
      <c r="G547" s="16">
        <v>400.0</v>
      </c>
      <c r="H547" s="31" t="s">
        <v>71</v>
      </c>
    </row>
    <row r="548" ht="15.75" customHeight="1">
      <c r="B548" s="16" t="s">
        <v>11</v>
      </c>
      <c r="C548" s="16" t="s">
        <v>72</v>
      </c>
      <c r="D548" s="16" t="s">
        <v>610</v>
      </c>
      <c r="E548" s="30">
        <v>70.0</v>
      </c>
      <c r="F548" s="16">
        <v>4.9</v>
      </c>
      <c r="G548" s="16">
        <v>180.0</v>
      </c>
      <c r="H548" s="31" t="s">
        <v>71</v>
      </c>
    </row>
    <row r="549" ht="15.75" customHeight="1">
      <c r="B549" s="16" t="s">
        <v>11</v>
      </c>
      <c r="C549" s="16" t="s">
        <v>72</v>
      </c>
      <c r="D549" s="16" t="s">
        <v>611</v>
      </c>
      <c r="E549" s="30">
        <v>70.0</v>
      </c>
      <c r="F549" s="16">
        <v>4.9</v>
      </c>
      <c r="G549" s="16">
        <v>350.0</v>
      </c>
      <c r="H549" s="31" t="s">
        <v>71</v>
      </c>
    </row>
    <row r="550" ht="15.75" customHeight="1">
      <c r="B550" s="16" t="s">
        <v>11</v>
      </c>
      <c r="C550" s="16" t="s">
        <v>72</v>
      </c>
      <c r="D550" s="16" t="s">
        <v>612</v>
      </c>
      <c r="E550" s="30">
        <v>70.0</v>
      </c>
      <c r="F550" s="16">
        <v>4.9</v>
      </c>
      <c r="G550" s="16">
        <v>180.0</v>
      </c>
      <c r="H550" s="31" t="s">
        <v>71</v>
      </c>
    </row>
    <row r="551" ht="15.75" customHeight="1">
      <c r="B551" s="16" t="s">
        <v>11</v>
      </c>
      <c r="C551" s="16" t="s">
        <v>72</v>
      </c>
      <c r="D551" s="16" t="s">
        <v>613</v>
      </c>
      <c r="E551" s="30">
        <v>70.0</v>
      </c>
      <c r="F551" s="16">
        <v>4.7</v>
      </c>
      <c r="G551" s="16">
        <v>300.0</v>
      </c>
      <c r="H551" s="31" t="s">
        <v>71</v>
      </c>
    </row>
    <row r="552" ht="15.75" customHeight="1">
      <c r="B552" s="16" t="s">
        <v>11</v>
      </c>
      <c r="C552" s="16" t="s">
        <v>77</v>
      </c>
      <c r="D552" s="16" t="s">
        <v>614</v>
      </c>
      <c r="E552" s="30">
        <v>70.0</v>
      </c>
      <c r="F552" s="16">
        <v>0.0</v>
      </c>
      <c r="G552" s="16">
        <v>300.0</v>
      </c>
      <c r="H552" s="31" t="s">
        <v>71</v>
      </c>
    </row>
    <row r="553" ht="15.75" customHeight="1">
      <c r="B553" s="16" t="s">
        <v>11</v>
      </c>
      <c r="C553" s="16" t="s">
        <v>77</v>
      </c>
      <c r="D553" s="16" t="s">
        <v>615</v>
      </c>
      <c r="E553" s="30">
        <v>70.0</v>
      </c>
      <c r="F553" s="16">
        <v>4.9</v>
      </c>
      <c r="G553" s="16">
        <v>80.0</v>
      </c>
      <c r="H553" s="31" t="s">
        <v>71</v>
      </c>
    </row>
    <row r="554" ht="15.75" customHeight="1">
      <c r="B554" s="16" t="s">
        <v>11</v>
      </c>
      <c r="C554" s="16" t="s">
        <v>77</v>
      </c>
      <c r="D554" s="16" t="s">
        <v>616</v>
      </c>
      <c r="E554" s="30">
        <v>70.0</v>
      </c>
      <c r="F554" s="16">
        <v>4.0</v>
      </c>
      <c r="G554" s="16">
        <v>80.0</v>
      </c>
      <c r="H554" s="31" t="s">
        <v>71</v>
      </c>
    </row>
    <row r="555" ht="15.75" customHeight="1">
      <c r="B555" s="16" t="s">
        <v>11</v>
      </c>
      <c r="C555" s="16" t="s">
        <v>142</v>
      </c>
      <c r="D555" s="16" t="s">
        <v>617</v>
      </c>
      <c r="E555" s="30">
        <v>70.0</v>
      </c>
      <c r="F555" s="16">
        <v>0.0</v>
      </c>
      <c r="G555" s="16">
        <v>80.0</v>
      </c>
      <c r="H555" s="31" t="s">
        <v>71</v>
      </c>
    </row>
    <row r="556" ht="15.75" customHeight="1">
      <c r="B556" s="16" t="s">
        <v>11</v>
      </c>
      <c r="C556" s="16" t="s">
        <v>72</v>
      </c>
      <c r="D556" s="16" t="s">
        <v>618</v>
      </c>
      <c r="E556" s="30">
        <v>72.0</v>
      </c>
      <c r="F556" s="16">
        <v>5.0</v>
      </c>
      <c r="G556" s="16">
        <v>180.0</v>
      </c>
      <c r="H556" s="31" t="s">
        <v>71</v>
      </c>
    </row>
    <row r="557" ht="15.75" customHeight="1">
      <c r="B557" s="16" t="s">
        <v>11</v>
      </c>
      <c r="C557" s="16" t="s">
        <v>72</v>
      </c>
      <c r="D557" s="16" t="s">
        <v>619</v>
      </c>
      <c r="E557" s="30">
        <v>73.0</v>
      </c>
      <c r="F557" s="16">
        <v>4.9</v>
      </c>
      <c r="G557" s="16">
        <v>80.0</v>
      </c>
      <c r="H557" s="31" t="s">
        <v>71</v>
      </c>
    </row>
    <row r="558" ht="15.75" customHeight="1">
      <c r="B558" s="16" t="s">
        <v>11</v>
      </c>
      <c r="C558" s="16" t="s">
        <v>72</v>
      </c>
      <c r="D558" s="16" t="s">
        <v>620</v>
      </c>
      <c r="E558" s="30">
        <v>74.0</v>
      </c>
      <c r="F558" s="16">
        <v>0.0</v>
      </c>
      <c r="G558" s="16">
        <v>400.0</v>
      </c>
      <c r="H558" s="31" t="s">
        <v>71</v>
      </c>
    </row>
    <row r="559" ht="15.75" customHeight="1">
      <c r="B559" s="16" t="s">
        <v>11</v>
      </c>
      <c r="C559" s="16" t="s">
        <v>72</v>
      </c>
      <c r="D559" s="16" t="s">
        <v>621</v>
      </c>
      <c r="E559" s="30">
        <v>75.0</v>
      </c>
      <c r="F559" s="16">
        <v>4.9</v>
      </c>
      <c r="G559" s="16">
        <v>700.0</v>
      </c>
      <c r="H559" s="31" t="s">
        <v>71</v>
      </c>
    </row>
    <row r="560" ht="15.75" customHeight="1">
      <c r="B560" s="16" t="s">
        <v>11</v>
      </c>
      <c r="C560" s="16" t="s">
        <v>72</v>
      </c>
      <c r="D560" s="16" t="s">
        <v>622</v>
      </c>
      <c r="E560" s="30">
        <v>75.0</v>
      </c>
      <c r="F560" s="16">
        <v>4.9</v>
      </c>
      <c r="G560" s="16">
        <v>180.0</v>
      </c>
      <c r="H560" s="31" t="s">
        <v>71</v>
      </c>
    </row>
    <row r="561" ht="15.75" customHeight="1">
      <c r="B561" s="16" t="s">
        <v>11</v>
      </c>
      <c r="C561" s="16" t="s">
        <v>72</v>
      </c>
      <c r="D561" s="16" t="s">
        <v>623</v>
      </c>
      <c r="E561" s="30">
        <v>75.0</v>
      </c>
      <c r="F561" s="16">
        <v>0.0</v>
      </c>
      <c r="G561" s="16">
        <v>250.0</v>
      </c>
      <c r="H561" s="31" t="s">
        <v>71</v>
      </c>
    </row>
    <row r="562" ht="15.75" customHeight="1">
      <c r="B562" s="16" t="s">
        <v>11</v>
      </c>
      <c r="C562" s="16" t="s">
        <v>72</v>
      </c>
      <c r="D562" s="16" t="s">
        <v>624</v>
      </c>
      <c r="E562" s="30">
        <v>75.0</v>
      </c>
      <c r="F562" s="16">
        <v>5.0</v>
      </c>
      <c r="G562" s="16">
        <v>150.0</v>
      </c>
      <c r="H562" s="31" t="s">
        <v>71</v>
      </c>
    </row>
    <row r="563" ht="15.75" customHeight="1">
      <c r="B563" s="16" t="s">
        <v>11</v>
      </c>
      <c r="C563" s="16" t="s">
        <v>72</v>
      </c>
      <c r="D563" s="16" t="s">
        <v>625</v>
      </c>
      <c r="E563" s="30">
        <v>75.0</v>
      </c>
      <c r="F563" s="16">
        <v>5.0</v>
      </c>
      <c r="G563" s="16">
        <v>1000.0</v>
      </c>
      <c r="H563" s="31" t="s">
        <v>71</v>
      </c>
    </row>
    <row r="564" ht="15.75" customHeight="1">
      <c r="B564" s="16" t="s">
        <v>11</v>
      </c>
      <c r="C564" s="16" t="s">
        <v>72</v>
      </c>
      <c r="D564" s="16" t="s">
        <v>626</v>
      </c>
      <c r="E564" s="30">
        <v>75.0</v>
      </c>
      <c r="F564" s="16">
        <v>0.0</v>
      </c>
      <c r="G564" s="16">
        <v>150.0</v>
      </c>
      <c r="H564" s="31" t="s">
        <v>71</v>
      </c>
    </row>
    <row r="565" ht="15.75" customHeight="1">
      <c r="B565" s="16" t="s">
        <v>11</v>
      </c>
      <c r="C565" s="16" t="s">
        <v>72</v>
      </c>
      <c r="D565" s="16" t="s">
        <v>627</v>
      </c>
      <c r="E565" s="30">
        <v>75.0</v>
      </c>
      <c r="F565" s="16">
        <v>4.9</v>
      </c>
      <c r="G565" s="16">
        <v>500.0</v>
      </c>
      <c r="H565" s="31" t="s">
        <v>71</v>
      </c>
    </row>
    <row r="566" ht="15.75" customHeight="1">
      <c r="B566" s="16" t="s">
        <v>11</v>
      </c>
      <c r="C566" s="16" t="s">
        <v>72</v>
      </c>
      <c r="D566" s="16" t="s">
        <v>628</v>
      </c>
      <c r="E566" s="30">
        <v>75.0</v>
      </c>
      <c r="F566" s="16">
        <v>5.0</v>
      </c>
      <c r="G566" s="16">
        <v>100.0</v>
      </c>
      <c r="H566" s="31" t="s">
        <v>71</v>
      </c>
    </row>
    <row r="567" ht="15.75" customHeight="1">
      <c r="B567" s="16" t="s">
        <v>11</v>
      </c>
      <c r="C567" s="16" t="s">
        <v>72</v>
      </c>
      <c r="D567" s="16" t="s">
        <v>629</v>
      </c>
      <c r="E567" s="30">
        <v>75.0</v>
      </c>
      <c r="F567" s="16">
        <v>5.0</v>
      </c>
      <c r="G567" s="16">
        <v>300.0</v>
      </c>
      <c r="H567" s="31" t="s">
        <v>71</v>
      </c>
    </row>
    <row r="568" ht="15.75" customHeight="1">
      <c r="B568" s="16" t="s">
        <v>11</v>
      </c>
      <c r="C568" s="16" t="s">
        <v>77</v>
      </c>
      <c r="D568" s="16" t="s">
        <v>630</v>
      </c>
      <c r="E568" s="30">
        <v>75.0</v>
      </c>
      <c r="F568" s="16">
        <v>5.0</v>
      </c>
      <c r="G568" s="16">
        <v>100.0</v>
      </c>
      <c r="H568" s="31" t="s">
        <v>71</v>
      </c>
    </row>
    <row r="569" ht="15.75" customHeight="1">
      <c r="B569" s="16" t="s">
        <v>11</v>
      </c>
      <c r="C569" s="16" t="s">
        <v>77</v>
      </c>
      <c r="D569" s="16" t="s">
        <v>631</v>
      </c>
      <c r="E569" s="30">
        <v>75.0</v>
      </c>
      <c r="F569" s="16">
        <v>5.0</v>
      </c>
      <c r="G569" s="16">
        <v>100.0</v>
      </c>
      <c r="H569" s="31" t="s">
        <v>71</v>
      </c>
    </row>
    <row r="570" ht="15.75" customHeight="1">
      <c r="B570" s="16" t="s">
        <v>11</v>
      </c>
      <c r="C570" s="16" t="s">
        <v>77</v>
      </c>
      <c r="D570" s="16" t="s">
        <v>632</v>
      </c>
      <c r="E570" s="30">
        <v>75.0</v>
      </c>
      <c r="F570" s="16">
        <v>0.0</v>
      </c>
      <c r="G570" s="16">
        <v>180.0</v>
      </c>
      <c r="H570" s="31" t="s">
        <v>71</v>
      </c>
    </row>
    <row r="571" ht="15.75" customHeight="1">
      <c r="B571" s="16" t="s">
        <v>11</v>
      </c>
      <c r="C571" s="16" t="s">
        <v>72</v>
      </c>
      <c r="D571" s="16" t="s">
        <v>633</v>
      </c>
      <c r="E571" s="30">
        <v>76.0</v>
      </c>
      <c r="F571" s="16">
        <v>4.5</v>
      </c>
      <c r="G571" s="16">
        <v>300.0</v>
      </c>
      <c r="H571" s="31" t="s">
        <v>71</v>
      </c>
    </row>
    <row r="572" ht="15.75" customHeight="1">
      <c r="B572" s="16" t="s">
        <v>11</v>
      </c>
      <c r="C572" s="16" t="s">
        <v>72</v>
      </c>
      <c r="D572" s="16" t="s">
        <v>634</v>
      </c>
      <c r="E572" s="30">
        <v>77.0</v>
      </c>
      <c r="F572" s="16">
        <v>5.0</v>
      </c>
      <c r="G572" s="16">
        <v>300.0</v>
      </c>
      <c r="H572" s="31" t="s">
        <v>71</v>
      </c>
    </row>
    <row r="573" ht="15.75" customHeight="1">
      <c r="B573" s="16" t="s">
        <v>11</v>
      </c>
      <c r="C573" s="16" t="s">
        <v>72</v>
      </c>
      <c r="D573" s="16" t="s">
        <v>635</v>
      </c>
      <c r="E573" s="30">
        <v>77.0</v>
      </c>
      <c r="F573" s="16">
        <v>4.9</v>
      </c>
      <c r="G573" s="16">
        <v>300.0</v>
      </c>
      <c r="H573" s="31" t="s">
        <v>71</v>
      </c>
    </row>
    <row r="574" ht="15.75" customHeight="1">
      <c r="B574" s="16" t="s">
        <v>11</v>
      </c>
      <c r="C574" s="16" t="s">
        <v>72</v>
      </c>
      <c r="D574" s="16" t="s">
        <v>636</v>
      </c>
      <c r="E574" s="30">
        <v>77.5</v>
      </c>
      <c r="F574" s="16">
        <v>5.0</v>
      </c>
      <c r="G574" s="16">
        <v>250.0</v>
      </c>
      <c r="H574" s="31" t="s">
        <v>71</v>
      </c>
    </row>
    <row r="575" ht="15.75" customHeight="1">
      <c r="B575" s="16" t="s">
        <v>11</v>
      </c>
      <c r="C575" s="16" t="s">
        <v>72</v>
      </c>
      <c r="D575" s="16" t="s">
        <v>637</v>
      </c>
      <c r="E575" s="30">
        <v>78.0</v>
      </c>
      <c r="F575" s="16">
        <v>4.9</v>
      </c>
      <c r="G575" s="16">
        <v>450.0</v>
      </c>
      <c r="H575" s="31" t="s">
        <v>71</v>
      </c>
    </row>
    <row r="576" ht="15.75" customHeight="1">
      <c r="B576" s="16" t="s">
        <v>11</v>
      </c>
      <c r="C576" s="16" t="s">
        <v>77</v>
      </c>
      <c r="D576" s="16" t="s">
        <v>638</v>
      </c>
      <c r="E576" s="30">
        <v>79.0</v>
      </c>
      <c r="F576" s="16">
        <v>4.8</v>
      </c>
      <c r="G576" s="16">
        <v>600.0</v>
      </c>
      <c r="H576" s="31" t="s">
        <v>71</v>
      </c>
    </row>
    <row r="577" ht="15.75" customHeight="1">
      <c r="B577" s="16" t="s">
        <v>11</v>
      </c>
      <c r="C577" s="16" t="s">
        <v>72</v>
      </c>
      <c r="D577" s="16" t="s">
        <v>639</v>
      </c>
      <c r="E577" s="30">
        <v>79.5</v>
      </c>
      <c r="F577" s="16">
        <v>4.9</v>
      </c>
      <c r="G577" s="16">
        <v>220.0</v>
      </c>
      <c r="H577" s="31" t="s">
        <v>71</v>
      </c>
    </row>
    <row r="578" ht="15.75" customHeight="1">
      <c r="B578" s="16" t="s">
        <v>11</v>
      </c>
      <c r="C578" s="16" t="s">
        <v>72</v>
      </c>
      <c r="D578" s="16" t="s">
        <v>640</v>
      </c>
      <c r="E578" s="30">
        <v>80.0</v>
      </c>
      <c r="F578" s="16">
        <v>4.9</v>
      </c>
      <c r="G578" s="16">
        <v>400.0</v>
      </c>
      <c r="H578" s="31" t="s">
        <v>71</v>
      </c>
    </row>
    <row r="579" ht="15.75" customHeight="1">
      <c r="B579" s="16" t="s">
        <v>11</v>
      </c>
      <c r="C579" s="16" t="s">
        <v>72</v>
      </c>
      <c r="D579" s="16" t="s">
        <v>641</v>
      </c>
      <c r="E579" s="30">
        <v>80.0</v>
      </c>
      <c r="F579" s="16">
        <v>4.9</v>
      </c>
      <c r="G579" s="16">
        <v>600.0</v>
      </c>
      <c r="H579" s="31" t="s">
        <v>71</v>
      </c>
    </row>
    <row r="580" ht="15.75" customHeight="1">
      <c r="B580" s="16" t="s">
        <v>11</v>
      </c>
      <c r="C580" s="16" t="s">
        <v>72</v>
      </c>
      <c r="D580" s="16" t="s">
        <v>642</v>
      </c>
      <c r="E580" s="30">
        <v>80.0</v>
      </c>
      <c r="F580" s="16">
        <v>4.8</v>
      </c>
      <c r="G580" s="16">
        <v>500.0</v>
      </c>
      <c r="H580" s="31" t="s">
        <v>71</v>
      </c>
    </row>
    <row r="581" ht="15.75" customHeight="1">
      <c r="B581" s="16" t="s">
        <v>11</v>
      </c>
      <c r="C581" s="16" t="s">
        <v>72</v>
      </c>
      <c r="D581" s="16" t="s">
        <v>643</v>
      </c>
      <c r="E581" s="30">
        <v>80.0</v>
      </c>
      <c r="F581" s="16">
        <v>5.0</v>
      </c>
      <c r="G581" s="16">
        <v>450.0</v>
      </c>
      <c r="H581" s="31" t="s">
        <v>71</v>
      </c>
    </row>
    <row r="582" ht="15.75" customHeight="1">
      <c r="B582" s="16" t="s">
        <v>11</v>
      </c>
      <c r="C582" s="16" t="s">
        <v>72</v>
      </c>
      <c r="D582" s="16" t="s">
        <v>644</v>
      </c>
      <c r="E582" s="30">
        <v>80.0</v>
      </c>
      <c r="F582" s="16">
        <v>4.9</v>
      </c>
      <c r="G582" s="16">
        <v>200.0</v>
      </c>
      <c r="H582" s="31" t="s">
        <v>71</v>
      </c>
    </row>
    <row r="583" ht="15.75" customHeight="1">
      <c r="B583" s="16" t="s">
        <v>11</v>
      </c>
      <c r="C583" s="16" t="s">
        <v>72</v>
      </c>
      <c r="D583" s="16" t="s">
        <v>645</v>
      </c>
      <c r="E583" s="30">
        <v>80.0</v>
      </c>
      <c r="F583" s="16">
        <v>4.9</v>
      </c>
      <c r="G583" s="16">
        <v>180.0</v>
      </c>
      <c r="H583" s="31" t="s">
        <v>71</v>
      </c>
    </row>
    <row r="584" ht="15.75" customHeight="1">
      <c r="B584" s="16" t="s">
        <v>11</v>
      </c>
      <c r="C584" s="16" t="s">
        <v>72</v>
      </c>
      <c r="D584" s="16" t="s">
        <v>646</v>
      </c>
      <c r="E584" s="30">
        <v>80.0</v>
      </c>
      <c r="F584" s="16">
        <v>4.7</v>
      </c>
      <c r="G584" s="16">
        <v>252.0</v>
      </c>
      <c r="H584" s="31" t="s">
        <v>71</v>
      </c>
    </row>
    <row r="585" ht="15.75" customHeight="1">
      <c r="B585" s="16" t="s">
        <v>11</v>
      </c>
      <c r="C585" s="16" t="s">
        <v>72</v>
      </c>
      <c r="D585" s="16" t="s">
        <v>647</v>
      </c>
      <c r="E585" s="30">
        <v>80.0</v>
      </c>
      <c r="F585" s="16">
        <v>4.9</v>
      </c>
      <c r="G585" s="16">
        <v>300.0</v>
      </c>
      <c r="H585" s="31" t="s">
        <v>71</v>
      </c>
    </row>
    <row r="586" ht="15.75" customHeight="1">
      <c r="B586" s="16" t="s">
        <v>11</v>
      </c>
      <c r="C586" s="16" t="s">
        <v>77</v>
      </c>
      <c r="D586" s="16" t="s">
        <v>648</v>
      </c>
      <c r="E586" s="30">
        <v>80.0</v>
      </c>
      <c r="F586" s="16">
        <v>5.0</v>
      </c>
      <c r="G586" s="16">
        <v>150.0</v>
      </c>
      <c r="H586" s="31" t="s">
        <v>71</v>
      </c>
    </row>
    <row r="587" ht="15.75" customHeight="1">
      <c r="B587" s="16" t="s">
        <v>11</v>
      </c>
      <c r="C587" s="16" t="s">
        <v>142</v>
      </c>
      <c r="D587" s="16" t="s">
        <v>649</v>
      </c>
      <c r="E587" s="30">
        <v>80.0</v>
      </c>
      <c r="F587" s="16">
        <v>0.0</v>
      </c>
      <c r="G587" s="16">
        <v>500.0</v>
      </c>
      <c r="H587" s="31" t="s">
        <v>71</v>
      </c>
    </row>
    <row r="588" ht="15.75" customHeight="1">
      <c r="B588" s="16" t="s">
        <v>11</v>
      </c>
      <c r="C588" s="16" t="s">
        <v>72</v>
      </c>
      <c r="D588" s="16" t="s">
        <v>650</v>
      </c>
      <c r="E588" s="30">
        <v>82.0</v>
      </c>
      <c r="F588" s="16">
        <v>0.0</v>
      </c>
      <c r="G588" s="16">
        <v>180.0</v>
      </c>
      <c r="H588" s="31" t="s">
        <v>71</v>
      </c>
    </row>
    <row r="589" ht="15.75" customHeight="1">
      <c r="B589" s="16" t="s">
        <v>11</v>
      </c>
      <c r="C589" s="16" t="s">
        <v>72</v>
      </c>
      <c r="D589" s="16" t="s">
        <v>651</v>
      </c>
      <c r="E589" s="30">
        <v>84.0</v>
      </c>
      <c r="F589" s="16">
        <v>4.9</v>
      </c>
      <c r="G589" s="16">
        <v>600.0</v>
      </c>
      <c r="H589" s="31" t="s">
        <v>71</v>
      </c>
    </row>
    <row r="590" ht="15.75" customHeight="1">
      <c r="B590" s="16" t="s">
        <v>11</v>
      </c>
      <c r="C590" s="16" t="s">
        <v>72</v>
      </c>
      <c r="D590" s="16" t="s">
        <v>652</v>
      </c>
      <c r="E590" s="30">
        <v>84.0</v>
      </c>
      <c r="F590" s="16">
        <v>0.0</v>
      </c>
      <c r="G590" s="16">
        <v>350.0</v>
      </c>
      <c r="H590" s="31" t="s">
        <v>71</v>
      </c>
    </row>
    <row r="591" ht="15.75" customHeight="1">
      <c r="B591" s="16" t="s">
        <v>11</v>
      </c>
      <c r="C591" s="16" t="s">
        <v>72</v>
      </c>
      <c r="D591" s="16" t="s">
        <v>653</v>
      </c>
      <c r="E591" s="30">
        <v>84.0</v>
      </c>
      <c r="F591" s="16">
        <v>4.8</v>
      </c>
      <c r="G591" s="16">
        <v>500.0</v>
      </c>
      <c r="H591" s="31" t="s">
        <v>71</v>
      </c>
    </row>
    <row r="592" ht="15.75" customHeight="1">
      <c r="B592" s="16" t="s">
        <v>11</v>
      </c>
      <c r="C592" s="16" t="s">
        <v>77</v>
      </c>
      <c r="D592" s="16" t="s">
        <v>654</v>
      </c>
      <c r="E592" s="30">
        <v>84.0</v>
      </c>
      <c r="F592" s="16">
        <v>0.0</v>
      </c>
      <c r="G592" s="16">
        <v>180.0</v>
      </c>
      <c r="H592" s="31" t="s">
        <v>71</v>
      </c>
    </row>
    <row r="593" ht="15.75" customHeight="1">
      <c r="B593" s="16" t="s">
        <v>11</v>
      </c>
      <c r="C593" s="16" t="s">
        <v>72</v>
      </c>
      <c r="D593" s="16" t="s">
        <v>655</v>
      </c>
      <c r="E593" s="30">
        <v>84.5</v>
      </c>
      <c r="F593" s="16">
        <v>5.0</v>
      </c>
      <c r="G593" s="16">
        <v>300.0</v>
      </c>
      <c r="H593" s="31" t="s">
        <v>71</v>
      </c>
    </row>
    <row r="594" ht="15.75" customHeight="1">
      <c r="B594" s="16" t="s">
        <v>11</v>
      </c>
      <c r="C594" s="16" t="s">
        <v>72</v>
      </c>
      <c r="D594" s="16" t="s">
        <v>656</v>
      </c>
      <c r="E594" s="30">
        <v>85.0</v>
      </c>
      <c r="F594" s="16">
        <v>5.0</v>
      </c>
      <c r="G594" s="16">
        <v>360.0</v>
      </c>
      <c r="H594" s="31" t="s">
        <v>71</v>
      </c>
    </row>
    <row r="595" ht="15.75" customHeight="1">
      <c r="B595" s="16" t="s">
        <v>11</v>
      </c>
      <c r="C595" s="16" t="s">
        <v>72</v>
      </c>
      <c r="D595" s="16" t="s">
        <v>657</v>
      </c>
      <c r="E595" s="30">
        <v>85.0</v>
      </c>
      <c r="F595" s="16">
        <v>4.7</v>
      </c>
      <c r="G595" s="16">
        <v>220.0</v>
      </c>
      <c r="H595" s="31" t="s">
        <v>71</v>
      </c>
    </row>
    <row r="596" ht="15.75" customHeight="1">
      <c r="B596" s="16" t="s">
        <v>11</v>
      </c>
      <c r="C596" s="16" t="s">
        <v>72</v>
      </c>
      <c r="D596" s="16" t="s">
        <v>658</v>
      </c>
      <c r="E596" s="30">
        <v>85.0</v>
      </c>
      <c r="F596" s="16">
        <v>4.6</v>
      </c>
      <c r="G596" s="16">
        <v>240.0</v>
      </c>
      <c r="H596" s="31" t="s">
        <v>71</v>
      </c>
    </row>
    <row r="597" ht="15.75" customHeight="1">
      <c r="B597" s="16" t="s">
        <v>11</v>
      </c>
      <c r="C597" s="16" t="s">
        <v>72</v>
      </c>
      <c r="D597" s="16" t="s">
        <v>659</v>
      </c>
      <c r="E597" s="30">
        <v>85.0</v>
      </c>
      <c r="F597" s="16">
        <v>4.7</v>
      </c>
      <c r="G597" s="16">
        <v>270.0</v>
      </c>
      <c r="H597" s="31" t="s">
        <v>71</v>
      </c>
    </row>
    <row r="598" ht="15.75" customHeight="1">
      <c r="B598" s="16" t="s">
        <v>11</v>
      </c>
      <c r="C598" s="16" t="s">
        <v>72</v>
      </c>
      <c r="D598" s="16" t="s">
        <v>660</v>
      </c>
      <c r="E598" s="30">
        <v>85.0</v>
      </c>
      <c r="F598" s="16">
        <v>4.9</v>
      </c>
      <c r="G598" s="16">
        <v>280.0</v>
      </c>
      <c r="H598" s="31" t="s">
        <v>71</v>
      </c>
    </row>
    <row r="599" ht="15.75" customHeight="1">
      <c r="B599" s="16" t="s">
        <v>11</v>
      </c>
      <c r="C599" s="16" t="s">
        <v>72</v>
      </c>
      <c r="D599" s="16" t="s">
        <v>661</v>
      </c>
      <c r="E599" s="30">
        <v>85.0</v>
      </c>
      <c r="F599" s="16">
        <v>5.0</v>
      </c>
      <c r="G599" s="16">
        <v>300.0</v>
      </c>
      <c r="H599" s="31" t="s">
        <v>71</v>
      </c>
    </row>
    <row r="600" ht="15.75" customHeight="1">
      <c r="B600" s="16" t="s">
        <v>11</v>
      </c>
      <c r="C600" s="16" t="s">
        <v>77</v>
      </c>
      <c r="D600" s="16" t="s">
        <v>662</v>
      </c>
      <c r="E600" s="30">
        <v>85.0</v>
      </c>
      <c r="F600" s="16">
        <v>0.0</v>
      </c>
      <c r="G600" s="16">
        <v>120.0</v>
      </c>
      <c r="H600" s="31" t="s">
        <v>71</v>
      </c>
    </row>
    <row r="601" ht="15.75" customHeight="1">
      <c r="B601" s="16" t="s">
        <v>11</v>
      </c>
      <c r="C601" s="16" t="s">
        <v>72</v>
      </c>
      <c r="D601" s="16" t="s">
        <v>663</v>
      </c>
      <c r="E601" s="30">
        <v>87.0</v>
      </c>
      <c r="F601" s="16">
        <v>4.8</v>
      </c>
      <c r="G601" s="16">
        <v>280.0</v>
      </c>
      <c r="H601" s="31" t="s">
        <v>71</v>
      </c>
    </row>
    <row r="602" ht="15.75" customHeight="1">
      <c r="B602" s="16" t="s">
        <v>11</v>
      </c>
      <c r="C602" s="16" t="s">
        <v>72</v>
      </c>
      <c r="D602" s="16" t="s">
        <v>664</v>
      </c>
      <c r="E602" s="30">
        <v>87.0</v>
      </c>
      <c r="F602" s="16">
        <v>5.0</v>
      </c>
      <c r="G602" s="16">
        <v>250.0</v>
      </c>
      <c r="H602" s="31" t="s">
        <v>71</v>
      </c>
    </row>
    <row r="603" ht="15.75" customHeight="1">
      <c r="B603" s="16" t="s">
        <v>11</v>
      </c>
      <c r="C603" s="16" t="s">
        <v>72</v>
      </c>
      <c r="D603" s="16" t="s">
        <v>665</v>
      </c>
      <c r="E603" s="30">
        <v>87.5</v>
      </c>
      <c r="F603" s="16">
        <v>4.9</v>
      </c>
      <c r="G603" s="16">
        <v>400.0</v>
      </c>
      <c r="H603" s="31" t="s">
        <v>71</v>
      </c>
    </row>
    <row r="604" ht="15.75" customHeight="1">
      <c r="B604" s="16" t="s">
        <v>11</v>
      </c>
      <c r="C604" s="16" t="s">
        <v>72</v>
      </c>
      <c r="D604" s="16" t="s">
        <v>666</v>
      </c>
      <c r="E604" s="30">
        <v>87.5</v>
      </c>
      <c r="F604" s="16">
        <v>5.0</v>
      </c>
      <c r="G604" s="16">
        <v>220.0</v>
      </c>
      <c r="H604" s="31" t="s">
        <v>71</v>
      </c>
    </row>
    <row r="605" ht="15.75" customHeight="1">
      <c r="B605" s="16" t="s">
        <v>11</v>
      </c>
      <c r="C605" s="16" t="s">
        <v>72</v>
      </c>
      <c r="D605" s="16" t="s">
        <v>667</v>
      </c>
      <c r="E605" s="30">
        <v>89.0</v>
      </c>
      <c r="F605" s="16">
        <v>4.9</v>
      </c>
      <c r="G605" s="16">
        <v>350.0</v>
      </c>
      <c r="H605" s="31" t="s">
        <v>71</v>
      </c>
    </row>
    <row r="606" ht="15.75" customHeight="1">
      <c r="B606" s="16" t="s">
        <v>11</v>
      </c>
      <c r="C606" s="16" t="s">
        <v>72</v>
      </c>
      <c r="D606" s="16" t="s">
        <v>668</v>
      </c>
      <c r="E606" s="30">
        <v>89.0</v>
      </c>
      <c r="F606" s="16">
        <v>4.9</v>
      </c>
      <c r="G606" s="16">
        <v>220.0</v>
      </c>
      <c r="H606" s="31" t="s">
        <v>71</v>
      </c>
    </row>
    <row r="607" ht="15.75" customHeight="1">
      <c r="B607" s="16" t="s">
        <v>11</v>
      </c>
      <c r="C607" s="16" t="s">
        <v>72</v>
      </c>
      <c r="D607" s="16" t="s">
        <v>669</v>
      </c>
      <c r="E607" s="30">
        <v>89.0</v>
      </c>
      <c r="F607" s="16">
        <v>4.9</v>
      </c>
      <c r="G607" s="16">
        <v>1000.0</v>
      </c>
      <c r="H607" s="31" t="s">
        <v>71</v>
      </c>
    </row>
    <row r="608" ht="15.75" customHeight="1">
      <c r="B608" s="16" t="s">
        <v>11</v>
      </c>
      <c r="C608" s="16" t="s">
        <v>72</v>
      </c>
      <c r="D608" s="16" t="s">
        <v>670</v>
      </c>
      <c r="E608" s="30">
        <v>89.0</v>
      </c>
      <c r="F608" s="16">
        <v>4.9</v>
      </c>
      <c r="G608" s="16">
        <v>250.0</v>
      </c>
      <c r="H608" s="31" t="s">
        <v>71</v>
      </c>
    </row>
    <row r="609" ht="15.75" customHeight="1">
      <c r="B609" s="16" t="s">
        <v>11</v>
      </c>
      <c r="C609" s="16" t="s">
        <v>72</v>
      </c>
      <c r="D609" s="16" t="s">
        <v>671</v>
      </c>
      <c r="E609" s="30">
        <v>90.0</v>
      </c>
      <c r="F609" s="16">
        <v>4.6</v>
      </c>
      <c r="G609" s="16">
        <v>150.0</v>
      </c>
      <c r="H609" s="31" t="s">
        <v>71</v>
      </c>
    </row>
    <row r="610" ht="15.75" customHeight="1">
      <c r="B610" s="16" t="s">
        <v>11</v>
      </c>
      <c r="C610" s="16" t="s">
        <v>72</v>
      </c>
      <c r="D610" s="16" t="s">
        <v>672</v>
      </c>
      <c r="E610" s="30">
        <v>90.0</v>
      </c>
      <c r="F610" s="16">
        <v>5.0</v>
      </c>
      <c r="G610" s="16">
        <v>250.0</v>
      </c>
      <c r="H610" s="31" t="s">
        <v>71</v>
      </c>
    </row>
    <row r="611" ht="15.75" customHeight="1">
      <c r="B611" s="16" t="s">
        <v>11</v>
      </c>
      <c r="C611" s="16" t="s">
        <v>72</v>
      </c>
      <c r="D611" s="16" t="s">
        <v>673</v>
      </c>
      <c r="E611" s="30">
        <v>90.0</v>
      </c>
      <c r="F611" s="16">
        <v>5.0</v>
      </c>
      <c r="G611" s="16">
        <v>300.0</v>
      </c>
      <c r="H611" s="31" t="s">
        <v>71</v>
      </c>
    </row>
    <row r="612" ht="15.75" customHeight="1">
      <c r="B612" s="16" t="s">
        <v>11</v>
      </c>
      <c r="C612" s="16" t="s">
        <v>72</v>
      </c>
      <c r="D612" s="16" t="s">
        <v>674</v>
      </c>
      <c r="E612" s="30">
        <v>90.0</v>
      </c>
      <c r="F612" s="16">
        <v>0.0</v>
      </c>
      <c r="G612" s="16">
        <v>600.0</v>
      </c>
      <c r="H612" s="31" t="s">
        <v>71</v>
      </c>
    </row>
    <row r="613" ht="15.75" customHeight="1">
      <c r="B613" s="16" t="s">
        <v>11</v>
      </c>
      <c r="C613" s="16" t="s">
        <v>77</v>
      </c>
      <c r="D613" s="16" t="s">
        <v>675</v>
      </c>
      <c r="E613" s="30">
        <v>90.0</v>
      </c>
      <c r="F613" s="16">
        <v>4.9</v>
      </c>
      <c r="G613" s="16">
        <v>70.0</v>
      </c>
      <c r="H613" s="31" t="s">
        <v>71</v>
      </c>
    </row>
    <row r="614" ht="15.75" customHeight="1">
      <c r="B614" s="16" t="s">
        <v>11</v>
      </c>
      <c r="C614" s="16" t="s">
        <v>142</v>
      </c>
      <c r="D614" s="16" t="s">
        <v>676</v>
      </c>
      <c r="E614" s="30">
        <v>90.0</v>
      </c>
      <c r="F614" s="16">
        <v>4.1</v>
      </c>
      <c r="G614" s="16">
        <v>100.0</v>
      </c>
      <c r="H614" s="31" t="s">
        <v>71</v>
      </c>
    </row>
    <row r="615" ht="15.75" customHeight="1">
      <c r="B615" s="16" t="s">
        <v>11</v>
      </c>
      <c r="C615" s="16" t="s">
        <v>72</v>
      </c>
      <c r="D615" s="16" t="s">
        <v>677</v>
      </c>
      <c r="E615" s="30">
        <v>95.0</v>
      </c>
      <c r="F615" s="16">
        <v>4.7</v>
      </c>
      <c r="G615" s="16">
        <v>300.0</v>
      </c>
      <c r="H615" s="31" t="s">
        <v>71</v>
      </c>
    </row>
    <row r="616" ht="15.75" customHeight="1">
      <c r="B616" s="16" t="s">
        <v>11</v>
      </c>
      <c r="C616" s="16" t="s">
        <v>72</v>
      </c>
      <c r="D616" s="16" t="s">
        <v>678</v>
      </c>
      <c r="E616" s="30">
        <v>95.0</v>
      </c>
      <c r="F616" s="16">
        <v>4.6</v>
      </c>
      <c r="G616" s="16">
        <v>120.0</v>
      </c>
      <c r="H616" s="31" t="s">
        <v>71</v>
      </c>
    </row>
    <row r="617" ht="15.75" customHeight="1">
      <c r="B617" s="16" t="s">
        <v>11</v>
      </c>
      <c r="C617" s="16" t="s">
        <v>72</v>
      </c>
      <c r="D617" s="16" t="s">
        <v>679</v>
      </c>
      <c r="E617" s="30">
        <v>95.0</v>
      </c>
      <c r="F617" s="16">
        <v>4.9</v>
      </c>
      <c r="G617" s="16">
        <v>500.0</v>
      </c>
      <c r="H617" s="31" t="s">
        <v>71</v>
      </c>
    </row>
    <row r="618" ht="15.75" customHeight="1">
      <c r="B618" s="16" t="s">
        <v>11</v>
      </c>
      <c r="C618" s="16" t="s">
        <v>77</v>
      </c>
      <c r="D618" s="16" t="s">
        <v>680</v>
      </c>
      <c r="E618" s="30">
        <v>95.0</v>
      </c>
      <c r="F618" s="16">
        <v>0.0</v>
      </c>
      <c r="G618" s="16">
        <v>300.0</v>
      </c>
      <c r="H618" s="31" t="s">
        <v>71</v>
      </c>
    </row>
    <row r="619" ht="15.75" customHeight="1">
      <c r="B619" s="16" t="s">
        <v>11</v>
      </c>
      <c r="C619" s="16" t="s">
        <v>77</v>
      </c>
      <c r="D619" s="16" t="s">
        <v>681</v>
      </c>
      <c r="E619" s="30">
        <v>95.0</v>
      </c>
      <c r="F619" s="16">
        <v>4.9</v>
      </c>
      <c r="G619" s="16">
        <v>450.0</v>
      </c>
      <c r="H619" s="31" t="s">
        <v>71</v>
      </c>
    </row>
    <row r="620" ht="15.75" customHeight="1">
      <c r="B620" s="16" t="s">
        <v>11</v>
      </c>
      <c r="C620" s="16" t="s">
        <v>77</v>
      </c>
      <c r="D620" s="16" t="s">
        <v>682</v>
      </c>
      <c r="E620" s="30">
        <v>95.0</v>
      </c>
      <c r="F620" s="16">
        <v>0.0</v>
      </c>
      <c r="G620" s="16">
        <v>30.0</v>
      </c>
      <c r="H620" s="31" t="s">
        <v>71</v>
      </c>
    </row>
    <row r="621" ht="15.75" customHeight="1">
      <c r="B621" s="16" t="s">
        <v>11</v>
      </c>
      <c r="C621" s="16" t="s">
        <v>72</v>
      </c>
      <c r="D621" s="16" t="s">
        <v>683</v>
      </c>
      <c r="E621" s="30">
        <v>96.0</v>
      </c>
      <c r="F621" s="16">
        <v>5.0</v>
      </c>
      <c r="G621" s="16">
        <v>250.0</v>
      </c>
      <c r="H621" s="31" t="s">
        <v>71</v>
      </c>
    </row>
    <row r="622" ht="15.75" customHeight="1">
      <c r="B622" s="16" t="s">
        <v>11</v>
      </c>
      <c r="C622" s="16" t="s">
        <v>72</v>
      </c>
      <c r="D622" s="16" t="s">
        <v>684</v>
      </c>
      <c r="E622" s="30">
        <v>98.0</v>
      </c>
      <c r="F622" s="16">
        <v>5.0</v>
      </c>
      <c r="G622" s="16">
        <v>160.0</v>
      </c>
      <c r="H622" s="31" t="s">
        <v>71</v>
      </c>
    </row>
    <row r="623" ht="15.75" customHeight="1">
      <c r="B623" s="16" t="s">
        <v>11</v>
      </c>
      <c r="C623" s="16" t="s">
        <v>77</v>
      </c>
      <c r="D623" s="16" t="s">
        <v>685</v>
      </c>
      <c r="E623" s="30">
        <v>98.0</v>
      </c>
      <c r="F623" s="16">
        <v>5.0</v>
      </c>
      <c r="G623" s="16">
        <v>250.0</v>
      </c>
      <c r="H623" s="31" t="s">
        <v>71</v>
      </c>
    </row>
    <row r="624" ht="15.75" customHeight="1">
      <c r="B624" s="16" t="s">
        <v>11</v>
      </c>
      <c r="C624" s="16" t="s">
        <v>72</v>
      </c>
      <c r="D624" s="16" t="s">
        <v>686</v>
      </c>
      <c r="E624" s="30">
        <v>99.5</v>
      </c>
      <c r="F624" s="16">
        <v>4.9</v>
      </c>
      <c r="G624" s="16">
        <v>400.0</v>
      </c>
      <c r="H624" s="31" t="s">
        <v>71</v>
      </c>
    </row>
    <row r="625" ht="15.75" customHeight="1">
      <c r="B625" s="16" t="s">
        <v>11</v>
      </c>
      <c r="C625" s="16" t="s">
        <v>72</v>
      </c>
      <c r="D625" s="16" t="s">
        <v>687</v>
      </c>
      <c r="E625" s="30">
        <v>99.5</v>
      </c>
      <c r="F625" s="16">
        <v>4.9</v>
      </c>
      <c r="G625" s="16">
        <v>250.0</v>
      </c>
      <c r="H625" s="31" t="s">
        <v>71</v>
      </c>
    </row>
    <row r="626" ht="15.75" customHeight="1">
      <c r="B626" s="16" t="s">
        <v>11</v>
      </c>
      <c r="C626" s="16" t="s">
        <v>72</v>
      </c>
      <c r="D626" s="16" t="s">
        <v>688</v>
      </c>
      <c r="E626" s="30">
        <v>100.0</v>
      </c>
      <c r="F626" s="16">
        <v>5.0</v>
      </c>
      <c r="G626" s="16">
        <v>300.0</v>
      </c>
      <c r="H626" s="31" t="s">
        <v>71</v>
      </c>
    </row>
    <row r="627" ht="15.75" customHeight="1">
      <c r="B627" s="16" t="s">
        <v>11</v>
      </c>
      <c r="C627" s="16" t="s">
        <v>72</v>
      </c>
      <c r="D627" s="16" t="s">
        <v>689</v>
      </c>
      <c r="E627" s="30">
        <v>100.0</v>
      </c>
      <c r="F627" s="16">
        <v>0.0</v>
      </c>
      <c r="G627" s="16">
        <v>350.0</v>
      </c>
      <c r="H627" s="31" t="s">
        <v>71</v>
      </c>
    </row>
    <row r="628" ht="15.75" customHeight="1">
      <c r="B628" s="16" t="s">
        <v>11</v>
      </c>
      <c r="C628" s="16" t="s">
        <v>72</v>
      </c>
      <c r="D628" s="16" t="s">
        <v>690</v>
      </c>
      <c r="E628" s="30">
        <v>100.0</v>
      </c>
      <c r="F628" s="16">
        <v>4.8</v>
      </c>
      <c r="G628" s="16">
        <v>150.0</v>
      </c>
      <c r="H628" s="31" t="s">
        <v>71</v>
      </c>
    </row>
    <row r="629" ht="15.75" customHeight="1">
      <c r="B629" s="16" t="s">
        <v>11</v>
      </c>
      <c r="C629" s="16" t="s">
        <v>72</v>
      </c>
      <c r="D629" s="16" t="s">
        <v>691</v>
      </c>
      <c r="E629" s="30">
        <v>100.0</v>
      </c>
      <c r="F629" s="16">
        <v>4.9</v>
      </c>
      <c r="G629" s="16">
        <v>380.0</v>
      </c>
      <c r="H629" s="31" t="s">
        <v>71</v>
      </c>
    </row>
    <row r="630" ht="15.75" customHeight="1">
      <c r="B630" s="16" t="s">
        <v>11</v>
      </c>
      <c r="C630" s="16" t="s">
        <v>72</v>
      </c>
      <c r="D630" s="16" t="s">
        <v>692</v>
      </c>
      <c r="E630" s="30">
        <v>100.0</v>
      </c>
      <c r="F630" s="16">
        <v>0.0</v>
      </c>
      <c r="G630" s="16">
        <v>250.0</v>
      </c>
      <c r="H630" s="31" t="s">
        <v>71</v>
      </c>
    </row>
    <row r="631" ht="15.75" customHeight="1">
      <c r="B631" s="16" t="s">
        <v>11</v>
      </c>
      <c r="C631" s="16" t="s">
        <v>77</v>
      </c>
      <c r="D631" s="16" t="s">
        <v>693</v>
      </c>
      <c r="E631" s="30">
        <v>100.0</v>
      </c>
      <c r="F631" s="16">
        <v>4.9</v>
      </c>
      <c r="G631" s="16">
        <v>80.0</v>
      </c>
      <c r="H631" s="31" t="s">
        <v>71</v>
      </c>
    </row>
    <row r="632" ht="15.75" customHeight="1">
      <c r="B632" s="16" t="s">
        <v>11</v>
      </c>
      <c r="C632" s="16" t="s">
        <v>77</v>
      </c>
      <c r="D632" s="16" t="s">
        <v>694</v>
      </c>
      <c r="E632" s="30">
        <v>100.0</v>
      </c>
      <c r="F632" s="16">
        <v>5.0</v>
      </c>
      <c r="G632" s="16">
        <v>60.0</v>
      </c>
      <c r="H632" s="31" t="s">
        <v>71</v>
      </c>
    </row>
    <row r="633" ht="15.75" customHeight="1">
      <c r="B633" s="16" t="s">
        <v>11</v>
      </c>
      <c r="C633" s="16" t="s">
        <v>77</v>
      </c>
      <c r="D633" s="16" t="s">
        <v>695</v>
      </c>
      <c r="E633" s="30">
        <v>100.0</v>
      </c>
      <c r="F633" s="16">
        <v>0.0</v>
      </c>
      <c r="G633" s="16">
        <v>100.0</v>
      </c>
      <c r="H633" s="31" t="s">
        <v>71</v>
      </c>
    </row>
    <row r="634" ht="15.75" customHeight="1">
      <c r="B634" s="16" t="s">
        <v>11</v>
      </c>
      <c r="C634" s="16" t="s">
        <v>77</v>
      </c>
      <c r="D634" s="16" t="s">
        <v>696</v>
      </c>
      <c r="E634" s="30">
        <v>100.0</v>
      </c>
      <c r="F634" s="16">
        <v>3.7</v>
      </c>
      <c r="G634" s="16">
        <v>550.0</v>
      </c>
      <c r="H634" s="31" t="s">
        <v>71</v>
      </c>
    </row>
    <row r="635" ht="15.75" customHeight="1">
      <c r="B635" s="16" t="s">
        <v>11</v>
      </c>
      <c r="C635" s="16" t="s">
        <v>77</v>
      </c>
      <c r="D635" s="16" t="s">
        <v>697</v>
      </c>
      <c r="E635" s="30">
        <v>100.0</v>
      </c>
      <c r="F635" s="16">
        <v>0.0</v>
      </c>
      <c r="G635" s="16">
        <v>100.0</v>
      </c>
      <c r="H635" s="31" t="s">
        <v>71</v>
      </c>
    </row>
    <row r="636" ht="15.75" customHeight="1">
      <c r="B636" s="16" t="s">
        <v>11</v>
      </c>
      <c r="C636" s="16" t="s">
        <v>142</v>
      </c>
      <c r="D636" s="16" t="s">
        <v>698</v>
      </c>
      <c r="E636" s="30">
        <v>100.0</v>
      </c>
      <c r="F636" s="16">
        <v>5.0</v>
      </c>
      <c r="G636" s="16">
        <v>180.0</v>
      </c>
      <c r="H636" s="31" t="s">
        <v>71</v>
      </c>
    </row>
    <row r="637" ht="15.75" customHeight="1">
      <c r="B637" s="16" t="s">
        <v>11</v>
      </c>
      <c r="C637" s="16" t="s">
        <v>72</v>
      </c>
      <c r="D637" s="16" t="s">
        <v>699</v>
      </c>
      <c r="E637" s="30">
        <v>101.0</v>
      </c>
      <c r="F637" s="16">
        <v>4.9</v>
      </c>
      <c r="G637" s="16">
        <v>350.0</v>
      </c>
      <c r="H637" s="31" t="s">
        <v>71</v>
      </c>
    </row>
    <row r="638" ht="15.75" customHeight="1">
      <c r="B638" s="16" t="s">
        <v>11</v>
      </c>
      <c r="C638" s="16" t="s">
        <v>72</v>
      </c>
      <c r="D638" s="16" t="s">
        <v>700</v>
      </c>
      <c r="E638" s="30">
        <v>102.0</v>
      </c>
      <c r="F638" s="16">
        <v>4.9</v>
      </c>
      <c r="G638" s="16">
        <v>270.0</v>
      </c>
      <c r="H638" s="31" t="s">
        <v>71</v>
      </c>
    </row>
    <row r="639" ht="15.75" customHeight="1">
      <c r="B639" s="16" t="s">
        <v>11</v>
      </c>
      <c r="C639" s="16" t="s">
        <v>72</v>
      </c>
      <c r="D639" s="16" t="s">
        <v>701</v>
      </c>
      <c r="E639" s="30">
        <v>107.0</v>
      </c>
      <c r="F639" s="16">
        <v>4.9</v>
      </c>
      <c r="G639" s="16">
        <v>500.0</v>
      </c>
      <c r="H639" s="31" t="s">
        <v>71</v>
      </c>
    </row>
    <row r="640" ht="15.75" customHeight="1">
      <c r="B640" s="16" t="s">
        <v>11</v>
      </c>
      <c r="C640" s="16" t="s">
        <v>77</v>
      </c>
      <c r="D640" s="16" t="s">
        <v>702</v>
      </c>
      <c r="E640" s="30">
        <v>110.0</v>
      </c>
      <c r="F640" s="16">
        <v>0.0</v>
      </c>
      <c r="G640" s="16">
        <v>550.0</v>
      </c>
      <c r="H640" s="31" t="s">
        <v>71</v>
      </c>
    </row>
    <row r="641" ht="15.75" customHeight="1">
      <c r="B641" s="16" t="s">
        <v>11</v>
      </c>
      <c r="C641" s="16" t="s">
        <v>77</v>
      </c>
      <c r="D641" s="16" t="s">
        <v>703</v>
      </c>
      <c r="E641" s="30">
        <v>115.0</v>
      </c>
      <c r="F641" s="16">
        <v>0.0</v>
      </c>
      <c r="G641" s="16">
        <v>60.0</v>
      </c>
      <c r="H641" s="31" t="s">
        <v>71</v>
      </c>
    </row>
    <row r="642" ht="15.75" customHeight="1">
      <c r="B642" s="16" t="s">
        <v>11</v>
      </c>
      <c r="C642" s="16" t="s">
        <v>77</v>
      </c>
      <c r="D642" s="16" t="s">
        <v>704</v>
      </c>
      <c r="E642" s="30">
        <v>115.0</v>
      </c>
      <c r="F642" s="16">
        <v>0.0</v>
      </c>
      <c r="G642" s="16">
        <v>150.0</v>
      </c>
      <c r="H642" s="31" t="s">
        <v>71</v>
      </c>
    </row>
    <row r="643" ht="15.75" customHeight="1">
      <c r="B643" s="16" t="s">
        <v>11</v>
      </c>
      <c r="C643" s="16" t="s">
        <v>77</v>
      </c>
      <c r="D643" s="16" t="s">
        <v>705</v>
      </c>
      <c r="E643" s="30">
        <v>116.0</v>
      </c>
      <c r="F643" s="16">
        <v>0.0</v>
      </c>
      <c r="G643" s="16">
        <v>600.0</v>
      </c>
      <c r="H643" s="31" t="s">
        <v>71</v>
      </c>
    </row>
    <row r="644" ht="15.75" customHeight="1">
      <c r="B644" s="16" t="s">
        <v>11</v>
      </c>
      <c r="C644" s="16" t="s">
        <v>72</v>
      </c>
      <c r="D644" s="16" t="s">
        <v>706</v>
      </c>
      <c r="E644" s="30">
        <v>120.0</v>
      </c>
      <c r="F644" s="16">
        <v>4.9</v>
      </c>
      <c r="G644" s="16">
        <v>250.0</v>
      </c>
      <c r="H644" s="31" t="s">
        <v>71</v>
      </c>
    </row>
    <row r="645" ht="15.75" customHeight="1">
      <c r="B645" s="16" t="s">
        <v>11</v>
      </c>
      <c r="C645" s="16" t="s">
        <v>72</v>
      </c>
      <c r="D645" s="16" t="s">
        <v>707</v>
      </c>
      <c r="E645" s="30">
        <v>120.0</v>
      </c>
      <c r="F645" s="16">
        <v>0.0</v>
      </c>
      <c r="G645" s="16">
        <v>250.0</v>
      </c>
      <c r="H645" s="31" t="s">
        <v>71</v>
      </c>
    </row>
    <row r="646" ht="15.75" customHeight="1">
      <c r="B646" s="16" t="s">
        <v>11</v>
      </c>
      <c r="C646" s="16" t="s">
        <v>72</v>
      </c>
      <c r="D646" s="16" t="s">
        <v>708</v>
      </c>
      <c r="E646" s="30">
        <v>120.0</v>
      </c>
      <c r="F646" s="16">
        <v>4.9</v>
      </c>
      <c r="G646" s="16">
        <v>500.0</v>
      </c>
      <c r="H646" s="31" t="s">
        <v>71</v>
      </c>
    </row>
    <row r="647" ht="15.75" customHeight="1">
      <c r="B647" s="16" t="s">
        <v>11</v>
      </c>
      <c r="C647" s="16" t="s">
        <v>77</v>
      </c>
      <c r="D647" s="16" t="s">
        <v>709</v>
      </c>
      <c r="E647" s="30">
        <v>120.0</v>
      </c>
      <c r="F647" s="16">
        <v>5.0</v>
      </c>
      <c r="G647" s="16">
        <v>120.0</v>
      </c>
      <c r="H647" s="31" t="s">
        <v>71</v>
      </c>
    </row>
    <row r="648" ht="15.75" customHeight="1">
      <c r="B648" s="16" t="s">
        <v>11</v>
      </c>
      <c r="C648" s="16" t="s">
        <v>77</v>
      </c>
      <c r="D648" s="16" t="s">
        <v>710</v>
      </c>
      <c r="E648" s="30">
        <v>120.0</v>
      </c>
      <c r="F648" s="16">
        <v>0.0</v>
      </c>
      <c r="G648" s="16">
        <v>135.0</v>
      </c>
      <c r="H648" s="31" t="s">
        <v>71</v>
      </c>
    </row>
    <row r="649" ht="15.75" customHeight="1">
      <c r="B649" s="16" t="s">
        <v>11</v>
      </c>
      <c r="C649" s="16" t="s">
        <v>77</v>
      </c>
      <c r="D649" s="16" t="s">
        <v>711</v>
      </c>
      <c r="E649" s="30">
        <v>125.0</v>
      </c>
      <c r="F649" s="16">
        <v>4.9</v>
      </c>
      <c r="G649" s="16">
        <v>80.0</v>
      </c>
      <c r="H649" s="31" t="s">
        <v>71</v>
      </c>
    </row>
    <row r="650" ht="15.75" customHeight="1">
      <c r="B650" s="16" t="s">
        <v>11</v>
      </c>
      <c r="C650" s="16" t="s">
        <v>72</v>
      </c>
      <c r="D650" s="16" t="s">
        <v>712</v>
      </c>
      <c r="E650" s="30">
        <v>130.0</v>
      </c>
      <c r="F650" s="16">
        <v>5.0</v>
      </c>
      <c r="G650" s="16">
        <v>300.0</v>
      </c>
      <c r="H650" s="31" t="s">
        <v>71</v>
      </c>
    </row>
    <row r="651" ht="15.75" customHeight="1">
      <c r="B651" s="16" t="s">
        <v>11</v>
      </c>
      <c r="C651" s="16" t="s">
        <v>77</v>
      </c>
      <c r="D651" s="16" t="s">
        <v>713</v>
      </c>
      <c r="E651" s="30">
        <v>134.0</v>
      </c>
      <c r="F651" s="16">
        <v>0.0</v>
      </c>
      <c r="G651" s="16">
        <v>450.0</v>
      </c>
      <c r="H651" s="31" t="s">
        <v>71</v>
      </c>
    </row>
    <row r="652" ht="15.75" customHeight="1">
      <c r="B652" s="16" t="s">
        <v>11</v>
      </c>
      <c r="C652" s="16" t="s">
        <v>77</v>
      </c>
      <c r="D652" s="16" t="s">
        <v>714</v>
      </c>
      <c r="E652" s="30">
        <v>145.0</v>
      </c>
      <c r="F652" s="16">
        <v>0.0</v>
      </c>
      <c r="G652" s="16">
        <v>200.0</v>
      </c>
      <c r="H652" s="31" t="s">
        <v>71</v>
      </c>
    </row>
    <row r="653" ht="15.75" customHeight="1">
      <c r="B653" s="16" t="s">
        <v>11</v>
      </c>
      <c r="C653" s="16" t="s">
        <v>72</v>
      </c>
      <c r="D653" s="16" t="s">
        <v>715</v>
      </c>
      <c r="E653" s="30">
        <v>146.0</v>
      </c>
      <c r="F653" s="16">
        <v>0.0</v>
      </c>
      <c r="G653" s="16">
        <v>250.0</v>
      </c>
      <c r="H653" s="31" t="s">
        <v>71</v>
      </c>
    </row>
    <row r="654" ht="15.75" customHeight="1">
      <c r="B654" s="16" t="s">
        <v>11</v>
      </c>
      <c r="C654" s="16" t="s">
        <v>72</v>
      </c>
      <c r="D654" s="16" t="s">
        <v>716</v>
      </c>
      <c r="E654" s="30">
        <v>150.0</v>
      </c>
      <c r="F654" s="16">
        <v>4.8</v>
      </c>
      <c r="G654" s="16">
        <v>200.0</v>
      </c>
      <c r="H654" s="31" t="s">
        <v>71</v>
      </c>
    </row>
    <row r="655" ht="15.75" customHeight="1">
      <c r="B655" s="16" t="s">
        <v>11</v>
      </c>
      <c r="C655" s="16" t="s">
        <v>77</v>
      </c>
      <c r="D655" s="16" t="s">
        <v>717</v>
      </c>
      <c r="E655" s="30">
        <v>150.0</v>
      </c>
      <c r="F655" s="16">
        <v>0.0</v>
      </c>
      <c r="G655" s="16">
        <v>100.0</v>
      </c>
      <c r="H655" s="31" t="s">
        <v>71</v>
      </c>
    </row>
    <row r="656" ht="15.75" customHeight="1">
      <c r="B656" s="16" t="s">
        <v>11</v>
      </c>
      <c r="C656" s="16" t="s">
        <v>77</v>
      </c>
      <c r="D656" s="16" t="s">
        <v>718</v>
      </c>
      <c r="E656" s="30">
        <v>150.0</v>
      </c>
      <c r="F656" s="16">
        <v>4.7</v>
      </c>
      <c r="G656" s="16">
        <v>120.0</v>
      </c>
      <c r="H656" s="31" t="s">
        <v>71</v>
      </c>
    </row>
    <row r="657" ht="15.75" customHeight="1">
      <c r="B657" s="16" t="s">
        <v>11</v>
      </c>
      <c r="C657" s="16" t="s">
        <v>77</v>
      </c>
      <c r="D657" s="16" t="s">
        <v>719</v>
      </c>
      <c r="E657" s="30">
        <v>155.0</v>
      </c>
      <c r="F657" s="16">
        <v>5.0</v>
      </c>
      <c r="G657" s="16">
        <v>100.0</v>
      </c>
      <c r="H657" s="31" t="s">
        <v>71</v>
      </c>
    </row>
    <row r="658" ht="15.75" customHeight="1">
      <c r="B658" s="16" t="s">
        <v>11</v>
      </c>
      <c r="C658" s="16" t="s">
        <v>72</v>
      </c>
      <c r="D658" s="16" t="s">
        <v>720</v>
      </c>
      <c r="E658" s="30">
        <v>160.0</v>
      </c>
      <c r="F658" s="16">
        <v>4.8</v>
      </c>
      <c r="G658" s="16">
        <v>1100.0</v>
      </c>
      <c r="H658" s="31" t="s">
        <v>71</v>
      </c>
    </row>
    <row r="659" ht="15.75" customHeight="1">
      <c r="B659" s="16" t="s">
        <v>11</v>
      </c>
      <c r="C659" s="16" t="s">
        <v>77</v>
      </c>
      <c r="D659" s="16" t="s">
        <v>721</v>
      </c>
      <c r="E659" s="30">
        <v>165.0</v>
      </c>
      <c r="F659" s="16">
        <v>0.0</v>
      </c>
      <c r="G659" s="16">
        <v>70.0</v>
      </c>
      <c r="H659" s="31" t="s">
        <v>71</v>
      </c>
    </row>
    <row r="660" ht="15.75" customHeight="1">
      <c r="B660" s="16" t="s">
        <v>11</v>
      </c>
      <c r="C660" s="16" t="s">
        <v>142</v>
      </c>
      <c r="D660" s="16" t="s">
        <v>722</v>
      </c>
      <c r="E660" s="30">
        <v>170.0</v>
      </c>
      <c r="F660" s="16">
        <v>0.0</v>
      </c>
      <c r="G660" s="16">
        <v>500.0</v>
      </c>
      <c r="H660" s="31" t="s">
        <v>71</v>
      </c>
    </row>
    <row r="661" ht="15.75" customHeight="1">
      <c r="B661" s="16" t="s">
        <v>11</v>
      </c>
      <c r="C661" s="16" t="s">
        <v>77</v>
      </c>
      <c r="D661" s="16" t="s">
        <v>723</v>
      </c>
      <c r="E661" s="30">
        <v>200.0</v>
      </c>
      <c r="F661" s="16">
        <v>0.0</v>
      </c>
      <c r="G661" s="16">
        <v>350.0</v>
      </c>
      <c r="H661" s="31" t="s">
        <v>71</v>
      </c>
    </row>
    <row r="662" ht="15.75" customHeight="1">
      <c r="B662" s="16" t="s">
        <v>11</v>
      </c>
      <c r="C662" s="16" t="s">
        <v>77</v>
      </c>
      <c r="D662" s="16" t="s">
        <v>724</v>
      </c>
      <c r="E662" s="30">
        <v>215.0</v>
      </c>
      <c r="F662" s="16">
        <v>5.0</v>
      </c>
      <c r="G662" s="16">
        <v>350.0</v>
      </c>
      <c r="H662" s="31" t="s">
        <v>71</v>
      </c>
    </row>
    <row r="663" ht="15.75" customHeight="1">
      <c r="B663" s="16" t="s">
        <v>11</v>
      </c>
      <c r="C663" s="16" t="s">
        <v>77</v>
      </c>
      <c r="D663" s="16" t="s">
        <v>725</v>
      </c>
      <c r="E663" s="30">
        <v>240.0</v>
      </c>
      <c r="F663" s="16">
        <v>0.0</v>
      </c>
      <c r="G663" s="16">
        <v>250.0</v>
      </c>
      <c r="H663" s="31" t="s">
        <v>71</v>
      </c>
    </row>
    <row r="664" ht="15.75" customHeight="1">
      <c r="B664" s="16" t="s">
        <v>11</v>
      </c>
      <c r="C664" s="16" t="s">
        <v>72</v>
      </c>
      <c r="D664" s="16" t="s">
        <v>726</v>
      </c>
      <c r="E664" s="30">
        <v>281.0</v>
      </c>
      <c r="F664" s="16">
        <v>0.0</v>
      </c>
      <c r="G664" s="16">
        <v>200.0</v>
      </c>
      <c r="H664" s="31" t="s">
        <v>71</v>
      </c>
    </row>
    <row r="665" ht="15.75" customHeight="1">
      <c r="B665" s="16" t="s">
        <v>11</v>
      </c>
      <c r="C665" s="16" t="s">
        <v>77</v>
      </c>
      <c r="D665" s="16" t="s">
        <v>727</v>
      </c>
      <c r="E665" s="30">
        <v>295.0</v>
      </c>
      <c r="F665" s="16">
        <v>4.9</v>
      </c>
      <c r="G665" s="16">
        <v>120.0</v>
      </c>
      <c r="H665" s="31" t="s">
        <v>71</v>
      </c>
    </row>
    <row r="666" ht="15.75" customHeight="1">
      <c r="B666" s="16" t="s">
        <v>55</v>
      </c>
      <c r="C666" s="16" t="s">
        <v>72</v>
      </c>
      <c r="D666" s="16" t="s">
        <v>728</v>
      </c>
      <c r="E666" s="30">
        <v>35.0</v>
      </c>
      <c r="F666" s="16">
        <v>5.0</v>
      </c>
      <c r="G666" s="16">
        <v>200.0</v>
      </c>
      <c r="H666" s="31" t="s">
        <v>71</v>
      </c>
    </row>
    <row r="667" ht="15.75" customHeight="1">
      <c r="B667" s="16" t="s">
        <v>55</v>
      </c>
      <c r="C667" s="16" t="s">
        <v>72</v>
      </c>
      <c r="D667" s="16" t="s">
        <v>729</v>
      </c>
      <c r="E667" s="30">
        <v>45.0</v>
      </c>
      <c r="F667" s="16">
        <v>5.0</v>
      </c>
      <c r="G667" s="16">
        <v>400.0</v>
      </c>
      <c r="H667" s="31" t="s">
        <v>71</v>
      </c>
    </row>
    <row r="668" ht="15.75" customHeight="1">
      <c r="B668" s="16" t="s">
        <v>55</v>
      </c>
      <c r="C668" s="16" t="s">
        <v>77</v>
      </c>
      <c r="D668" s="16" t="s">
        <v>730</v>
      </c>
      <c r="E668" s="30">
        <v>46.0</v>
      </c>
      <c r="F668" s="16">
        <v>0.0</v>
      </c>
      <c r="G668" s="16">
        <v>150.0</v>
      </c>
      <c r="H668" s="31" t="s">
        <v>71</v>
      </c>
    </row>
    <row r="669" ht="15.75" customHeight="1">
      <c r="B669" s="16" t="s">
        <v>55</v>
      </c>
      <c r="C669" s="16" t="s">
        <v>77</v>
      </c>
      <c r="D669" s="16" t="s">
        <v>731</v>
      </c>
      <c r="E669" s="30">
        <v>49.9</v>
      </c>
      <c r="F669" s="16">
        <v>0.0</v>
      </c>
      <c r="G669" s="16">
        <v>400.0</v>
      </c>
      <c r="H669" s="31" t="s">
        <v>71</v>
      </c>
    </row>
    <row r="670" ht="15.75" customHeight="1">
      <c r="B670" s="16" t="s">
        <v>55</v>
      </c>
      <c r="C670" s="16" t="s">
        <v>77</v>
      </c>
      <c r="D670" s="16" t="s">
        <v>732</v>
      </c>
      <c r="E670" s="30">
        <v>55.0</v>
      </c>
      <c r="F670" s="16">
        <v>0.0</v>
      </c>
      <c r="G670" s="16">
        <v>200.0</v>
      </c>
      <c r="H670" s="31" t="s">
        <v>71</v>
      </c>
    </row>
    <row r="671" ht="15.75" customHeight="1">
      <c r="B671" s="16" t="s">
        <v>55</v>
      </c>
      <c r="C671" s="16" t="s">
        <v>142</v>
      </c>
      <c r="D671" s="16" t="s">
        <v>733</v>
      </c>
      <c r="E671" s="30">
        <v>60.0</v>
      </c>
      <c r="F671" s="16">
        <v>5.0</v>
      </c>
      <c r="G671" s="16">
        <v>250.0</v>
      </c>
      <c r="H671" s="31" t="s">
        <v>71</v>
      </c>
    </row>
    <row r="672" ht="15.75" customHeight="1">
      <c r="B672" s="16" t="s">
        <v>55</v>
      </c>
      <c r="C672" s="16" t="s">
        <v>72</v>
      </c>
      <c r="D672" s="16" t="s">
        <v>734</v>
      </c>
      <c r="E672" s="30">
        <v>68.0</v>
      </c>
      <c r="F672" s="16">
        <v>5.0</v>
      </c>
      <c r="G672" s="16">
        <v>300.0</v>
      </c>
      <c r="H672" s="31" t="s">
        <v>71</v>
      </c>
    </row>
    <row r="673" ht="15.75" customHeight="1">
      <c r="B673" s="16" t="s">
        <v>55</v>
      </c>
      <c r="C673" s="16" t="s">
        <v>72</v>
      </c>
      <c r="D673" s="16" t="s">
        <v>444</v>
      </c>
      <c r="E673" s="30">
        <v>69.0</v>
      </c>
      <c r="F673" s="16">
        <v>4.8</v>
      </c>
      <c r="G673" s="16">
        <v>300.0</v>
      </c>
      <c r="H673" s="31" t="s">
        <v>71</v>
      </c>
    </row>
    <row r="674" ht="15.75" customHeight="1">
      <c r="B674" s="16" t="s">
        <v>55</v>
      </c>
      <c r="C674" s="16" t="s">
        <v>72</v>
      </c>
      <c r="D674" s="16" t="s">
        <v>337</v>
      </c>
      <c r="E674" s="30">
        <v>70.0</v>
      </c>
      <c r="F674" s="16">
        <v>0.0</v>
      </c>
      <c r="G674" s="16">
        <v>400.0</v>
      </c>
      <c r="H674" s="31" t="s">
        <v>71</v>
      </c>
    </row>
    <row r="675" ht="15.75" customHeight="1">
      <c r="B675" s="16" t="s">
        <v>55</v>
      </c>
      <c r="C675" s="16" t="s">
        <v>142</v>
      </c>
      <c r="D675" s="16" t="s">
        <v>735</v>
      </c>
      <c r="E675" s="30">
        <v>70.0</v>
      </c>
      <c r="F675" s="16">
        <v>0.0</v>
      </c>
      <c r="G675" s="16">
        <v>500.0</v>
      </c>
      <c r="H675" s="31" t="s">
        <v>71</v>
      </c>
    </row>
    <row r="676" ht="15.75" customHeight="1">
      <c r="B676" s="16" t="s">
        <v>55</v>
      </c>
      <c r="C676" s="16" t="s">
        <v>72</v>
      </c>
      <c r="D676" s="16" t="s">
        <v>736</v>
      </c>
      <c r="E676" s="30">
        <v>75.0</v>
      </c>
      <c r="F676" s="16">
        <v>4.7</v>
      </c>
      <c r="G676" s="16">
        <v>400.0</v>
      </c>
      <c r="H676" s="31" t="s">
        <v>71</v>
      </c>
    </row>
    <row r="677" ht="15.75" customHeight="1">
      <c r="B677" s="16" t="s">
        <v>55</v>
      </c>
      <c r="C677" s="16" t="s">
        <v>72</v>
      </c>
      <c r="D677" s="16" t="s">
        <v>737</v>
      </c>
      <c r="E677" s="30">
        <v>75.0</v>
      </c>
      <c r="F677" s="16">
        <v>0.0</v>
      </c>
      <c r="G677" s="16">
        <v>200.0</v>
      </c>
      <c r="H677" s="31" t="s">
        <v>71</v>
      </c>
    </row>
    <row r="678" ht="15.75" customHeight="1">
      <c r="B678" s="16" t="s">
        <v>55</v>
      </c>
      <c r="C678" s="16" t="s">
        <v>77</v>
      </c>
      <c r="D678" s="16" t="s">
        <v>738</v>
      </c>
      <c r="E678" s="30">
        <v>79.0</v>
      </c>
      <c r="F678" s="16">
        <v>0.0</v>
      </c>
      <c r="G678" s="16">
        <v>450.0</v>
      </c>
      <c r="H678" s="31" t="s">
        <v>71</v>
      </c>
    </row>
    <row r="679" ht="15.75" customHeight="1">
      <c r="B679" s="16" t="s">
        <v>55</v>
      </c>
      <c r="C679" s="16" t="s">
        <v>72</v>
      </c>
      <c r="D679" s="16" t="s">
        <v>739</v>
      </c>
      <c r="E679" s="30">
        <v>85.0</v>
      </c>
      <c r="F679" s="16">
        <v>5.0</v>
      </c>
      <c r="G679" s="16">
        <v>118.0</v>
      </c>
      <c r="H679" s="31" t="s">
        <v>71</v>
      </c>
    </row>
    <row r="680" ht="15.75" customHeight="1">
      <c r="B680" s="16" t="s">
        <v>55</v>
      </c>
      <c r="C680" s="16" t="s">
        <v>72</v>
      </c>
      <c r="D680" s="16" t="s">
        <v>740</v>
      </c>
      <c r="E680" s="30">
        <v>85.0</v>
      </c>
      <c r="F680" s="16">
        <v>4.5</v>
      </c>
      <c r="G680" s="16">
        <v>300.0</v>
      </c>
      <c r="H680" s="31" t="s">
        <v>71</v>
      </c>
    </row>
    <row r="681" ht="15.75" customHeight="1">
      <c r="B681" s="16" t="s">
        <v>55</v>
      </c>
      <c r="C681" s="16" t="s">
        <v>72</v>
      </c>
      <c r="D681" s="16" t="s">
        <v>741</v>
      </c>
      <c r="E681" s="30">
        <v>100.0</v>
      </c>
      <c r="F681" s="16">
        <v>4.8</v>
      </c>
      <c r="G681" s="16">
        <v>400.0</v>
      </c>
      <c r="H681" s="31" t="s">
        <v>71</v>
      </c>
    </row>
    <row r="682" ht="15.75" customHeight="1">
      <c r="B682" s="16" t="s">
        <v>55</v>
      </c>
      <c r="C682" s="16" t="s">
        <v>72</v>
      </c>
      <c r="D682" s="16" t="s">
        <v>742</v>
      </c>
      <c r="E682" s="30">
        <v>120.0</v>
      </c>
      <c r="F682" s="16">
        <v>0.0</v>
      </c>
      <c r="G682" s="16">
        <v>250.0</v>
      </c>
      <c r="H682" s="31" t="s">
        <v>71</v>
      </c>
    </row>
    <row r="683" ht="15.75" customHeight="1">
      <c r="B683" s="16" t="s">
        <v>57</v>
      </c>
      <c r="C683" s="16" t="s">
        <v>72</v>
      </c>
      <c r="D683" s="16" t="s">
        <v>743</v>
      </c>
      <c r="E683" s="30">
        <v>8.0</v>
      </c>
      <c r="F683" s="16">
        <v>5.0</v>
      </c>
      <c r="G683" s="16">
        <v>350.0</v>
      </c>
      <c r="H683" s="31" t="s">
        <v>71</v>
      </c>
    </row>
    <row r="684" ht="15.75" customHeight="1">
      <c r="B684" s="16" t="s">
        <v>57</v>
      </c>
      <c r="C684" s="16" t="s">
        <v>142</v>
      </c>
      <c r="D684" s="16" t="s">
        <v>744</v>
      </c>
      <c r="E684" s="30">
        <v>20.0</v>
      </c>
      <c r="F684" s="16">
        <v>0.0</v>
      </c>
      <c r="G684" s="16">
        <v>30.0</v>
      </c>
      <c r="H684" s="31" t="s">
        <v>71</v>
      </c>
    </row>
    <row r="685" ht="15.75" customHeight="1">
      <c r="B685" s="16" t="s">
        <v>57</v>
      </c>
      <c r="C685" s="16" t="s">
        <v>72</v>
      </c>
      <c r="D685" s="16" t="s">
        <v>745</v>
      </c>
      <c r="E685" s="30">
        <v>25.0</v>
      </c>
      <c r="F685" s="16">
        <v>5.0</v>
      </c>
      <c r="G685" s="16">
        <v>50.0</v>
      </c>
      <c r="H685" s="31" t="s">
        <v>71</v>
      </c>
    </row>
    <row r="686" ht="15.75" customHeight="1">
      <c r="B686" s="16" t="s">
        <v>57</v>
      </c>
      <c r="C686" s="16" t="s">
        <v>72</v>
      </c>
      <c r="D686" s="16" t="s">
        <v>746</v>
      </c>
      <c r="E686" s="30">
        <v>25.0</v>
      </c>
      <c r="F686" s="16">
        <v>5.0</v>
      </c>
      <c r="G686" s="16">
        <v>220.0</v>
      </c>
      <c r="H686" s="31" t="s">
        <v>71</v>
      </c>
    </row>
    <row r="687" ht="15.75" customHeight="1">
      <c r="B687" s="16" t="s">
        <v>57</v>
      </c>
      <c r="C687" s="16" t="s">
        <v>142</v>
      </c>
      <c r="D687" s="16" t="s">
        <v>747</v>
      </c>
      <c r="E687" s="30">
        <v>25.0</v>
      </c>
      <c r="F687" s="16">
        <v>0.0</v>
      </c>
      <c r="G687" s="16">
        <v>250.0</v>
      </c>
      <c r="H687" s="31" t="s">
        <v>71</v>
      </c>
    </row>
    <row r="688" ht="15.75" customHeight="1">
      <c r="B688" s="16" t="s">
        <v>57</v>
      </c>
      <c r="C688" s="16" t="s">
        <v>142</v>
      </c>
      <c r="D688" s="16" t="s">
        <v>748</v>
      </c>
      <c r="E688" s="30">
        <v>27.9</v>
      </c>
      <c r="F688" s="16">
        <v>5.0</v>
      </c>
      <c r="G688" s="16">
        <v>70.0</v>
      </c>
      <c r="H688" s="31" t="s">
        <v>71</v>
      </c>
    </row>
    <row r="689" ht="15.75" customHeight="1">
      <c r="B689" s="16" t="s">
        <v>57</v>
      </c>
      <c r="C689" s="16" t="s">
        <v>77</v>
      </c>
      <c r="D689" s="16" t="s">
        <v>749</v>
      </c>
      <c r="E689" s="30">
        <v>30.0</v>
      </c>
      <c r="F689" s="16">
        <v>0.0</v>
      </c>
      <c r="G689" s="16">
        <v>100.0</v>
      </c>
      <c r="H689" s="31" t="s">
        <v>71</v>
      </c>
    </row>
    <row r="690" ht="15.75" customHeight="1">
      <c r="B690" s="16" t="s">
        <v>57</v>
      </c>
      <c r="C690" s="16" t="s">
        <v>77</v>
      </c>
      <c r="D690" s="16" t="s">
        <v>750</v>
      </c>
      <c r="E690" s="30">
        <v>30.0</v>
      </c>
      <c r="F690" s="16">
        <v>5.0</v>
      </c>
      <c r="G690" s="16">
        <v>100.0</v>
      </c>
      <c r="H690" s="31" t="s">
        <v>71</v>
      </c>
    </row>
    <row r="691" ht="15.75" customHeight="1">
      <c r="B691" s="16" t="s">
        <v>57</v>
      </c>
      <c r="C691" s="16" t="s">
        <v>142</v>
      </c>
      <c r="D691" s="16" t="s">
        <v>751</v>
      </c>
      <c r="E691" s="30">
        <v>30.0</v>
      </c>
      <c r="F691" s="16">
        <v>0.0</v>
      </c>
      <c r="G691" s="16">
        <v>300.0</v>
      </c>
      <c r="H691" s="31" t="s">
        <v>71</v>
      </c>
    </row>
    <row r="692" ht="15.75" customHeight="1">
      <c r="B692" s="16" t="s">
        <v>57</v>
      </c>
      <c r="C692" s="16" t="s">
        <v>142</v>
      </c>
      <c r="D692" s="16" t="s">
        <v>752</v>
      </c>
      <c r="E692" s="30">
        <v>30.0</v>
      </c>
      <c r="F692" s="16">
        <v>5.0</v>
      </c>
      <c r="G692" s="16">
        <v>60.0</v>
      </c>
      <c r="H692" s="31" t="s">
        <v>71</v>
      </c>
    </row>
    <row r="693" ht="15.75" customHeight="1">
      <c r="B693" s="16" t="s">
        <v>57</v>
      </c>
      <c r="C693" s="16" t="s">
        <v>142</v>
      </c>
      <c r="D693" s="16" t="s">
        <v>753</v>
      </c>
      <c r="E693" s="30">
        <v>30.0</v>
      </c>
      <c r="F693" s="16">
        <v>0.0</v>
      </c>
      <c r="G693" s="16">
        <v>150.0</v>
      </c>
      <c r="H693" s="31" t="s">
        <v>71</v>
      </c>
    </row>
    <row r="694" ht="15.75" customHeight="1">
      <c r="B694" s="16" t="s">
        <v>57</v>
      </c>
      <c r="C694" s="16" t="s">
        <v>72</v>
      </c>
      <c r="D694" s="16" t="s">
        <v>754</v>
      </c>
      <c r="E694" s="30">
        <v>35.0</v>
      </c>
      <c r="F694" s="16">
        <v>0.0</v>
      </c>
      <c r="G694" s="16">
        <v>500.0</v>
      </c>
      <c r="H694" s="31" t="s">
        <v>71</v>
      </c>
    </row>
    <row r="695" ht="15.75" customHeight="1">
      <c r="B695" s="16" t="s">
        <v>57</v>
      </c>
      <c r="C695" s="16" t="s">
        <v>72</v>
      </c>
      <c r="D695" s="16" t="s">
        <v>755</v>
      </c>
      <c r="E695" s="30">
        <v>35.0</v>
      </c>
      <c r="F695" s="16">
        <v>0.0</v>
      </c>
      <c r="G695" s="16">
        <v>300.0</v>
      </c>
      <c r="H695" s="31" t="s">
        <v>71</v>
      </c>
    </row>
    <row r="696" ht="15.75" customHeight="1">
      <c r="B696" s="16" t="s">
        <v>57</v>
      </c>
      <c r="C696" s="16" t="s">
        <v>77</v>
      </c>
      <c r="D696" s="16" t="s">
        <v>756</v>
      </c>
      <c r="E696" s="30">
        <v>35.0</v>
      </c>
      <c r="F696" s="16">
        <v>5.0</v>
      </c>
      <c r="G696" s="16">
        <v>250.0</v>
      </c>
      <c r="H696" s="31" t="s">
        <v>71</v>
      </c>
    </row>
    <row r="697" ht="15.75" customHeight="1">
      <c r="B697" s="16" t="s">
        <v>57</v>
      </c>
      <c r="C697" s="16" t="s">
        <v>142</v>
      </c>
      <c r="D697" s="16" t="s">
        <v>757</v>
      </c>
      <c r="E697" s="30">
        <v>35.0</v>
      </c>
      <c r="F697" s="16">
        <v>0.0</v>
      </c>
      <c r="G697" s="16">
        <v>500.0</v>
      </c>
      <c r="H697" s="31" t="s">
        <v>71</v>
      </c>
    </row>
    <row r="698" ht="15.75" customHeight="1">
      <c r="B698" s="16" t="s">
        <v>57</v>
      </c>
      <c r="C698" s="16" t="s">
        <v>142</v>
      </c>
      <c r="D698" s="16" t="s">
        <v>758</v>
      </c>
      <c r="E698" s="30">
        <v>35.0</v>
      </c>
      <c r="F698" s="16">
        <v>0.0</v>
      </c>
      <c r="G698" s="16">
        <v>60.0</v>
      </c>
      <c r="H698" s="31" t="s">
        <v>71</v>
      </c>
    </row>
    <row r="699" ht="15.75" customHeight="1">
      <c r="B699" s="16" t="s">
        <v>57</v>
      </c>
      <c r="C699" s="16" t="s">
        <v>142</v>
      </c>
      <c r="D699" s="16" t="s">
        <v>759</v>
      </c>
      <c r="E699" s="30">
        <v>35.0</v>
      </c>
      <c r="F699" s="16">
        <v>4.9</v>
      </c>
      <c r="G699" s="16">
        <v>150.0</v>
      </c>
      <c r="H699" s="31" t="s">
        <v>71</v>
      </c>
    </row>
    <row r="700" ht="15.75" customHeight="1">
      <c r="B700" s="16" t="s">
        <v>57</v>
      </c>
      <c r="C700" s="16" t="s">
        <v>77</v>
      </c>
      <c r="D700" s="16" t="s">
        <v>760</v>
      </c>
      <c r="E700" s="30">
        <v>36.0</v>
      </c>
      <c r="F700" s="16">
        <v>0.0</v>
      </c>
      <c r="G700" s="16">
        <v>70.0</v>
      </c>
      <c r="H700" s="31" t="s">
        <v>71</v>
      </c>
    </row>
    <row r="701" ht="15.75" customHeight="1">
      <c r="B701" s="16" t="s">
        <v>57</v>
      </c>
      <c r="C701" s="16" t="s">
        <v>72</v>
      </c>
      <c r="D701" s="16" t="s">
        <v>761</v>
      </c>
      <c r="E701" s="30">
        <v>40.0</v>
      </c>
      <c r="F701" s="16">
        <v>5.0</v>
      </c>
      <c r="G701" s="16">
        <v>200.0</v>
      </c>
      <c r="H701" s="31" t="s">
        <v>71</v>
      </c>
    </row>
    <row r="702" ht="15.75" customHeight="1">
      <c r="B702" s="16" t="s">
        <v>57</v>
      </c>
      <c r="C702" s="16" t="s">
        <v>72</v>
      </c>
      <c r="D702" s="16" t="s">
        <v>762</v>
      </c>
      <c r="E702" s="30">
        <v>40.0</v>
      </c>
      <c r="F702" s="16">
        <v>0.0</v>
      </c>
      <c r="G702" s="16">
        <v>120.0</v>
      </c>
      <c r="H702" s="31" t="s">
        <v>71</v>
      </c>
    </row>
    <row r="703" ht="15.75" customHeight="1">
      <c r="B703" s="16" t="s">
        <v>57</v>
      </c>
      <c r="C703" s="16" t="s">
        <v>77</v>
      </c>
      <c r="D703" s="16" t="s">
        <v>763</v>
      </c>
      <c r="E703" s="30">
        <v>40.0</v>
      </c>
      <c r="F703" s="16">
        <v>5.0</v>
      </c>
      <c r="G703" s="16">
        <v>200.0</v>
      </c>
      <c r="H703" s="31" t="s">
        <v>71</v>
      </c>
    </row>
    <row r="704" ht="15.75" customHeight="1">
      <c r="B704" s="16" t="s">
        <v>57</v>
      </c>
      <c r="C704" s="16" t="s">
        <v>142</v>
      </c>
      <c r="D704" s="16" t="s">
        <v>764</v>
      </c>
      <c r="E704" s="30">
        <v>40.0</v>
      </c>
      <c r="F704" s="16">
        <v>0.0</v>
      </c>
      <c r="G704" s="16">
        <v>90.0</v>
      </c>
      <c r="H704" s="31" t="s">
        <v>71</v>
      </c>
    </row>
    <row r="705" ht="15.75" customHeight="1">
      <c r="B705" s="16" t="s">
        <v>57</v>
      </c>
      <c r="C705" s="16" t="s">
        <v>142</v>
      </c>
      <c r="D705" s="16" t="s">
        <v>765</v>
      </c>
      <c r="E705" s="30">
        <v>40.0</v>
      </c>
      <c r="F705" s="16">
        <v>0.0</v>
      </c>
      <c r="G705" s="16">
        <v>80.0</v>
      </c>
      <c r="H705" s="31" t="s">
        <v>71</v>
      </c>
    </row>
    <row r="706" ht="15.75" customHeight="1">
      <c r="B706" s="16" t="s">
        <v>57</v>
      </c>
      <c r="C706" s="16" t="s">
        <v>72</v>
      </c>
      <c r="D706" s="16" t="s">
        <v>766</v>
      </c>
      <c r="E706" s="30">
        <v>41.0</v>
      </c>
      <c r="F706" s="16">
        <v>4.8</v>
      </c>
      <c r="G706" s="16">
        <v>160.0</v>
      </c>
      <c r="H706" s="31" t="s">
        <v>71</v>
      </c>
    </row>
    <row r="707" ht="15.75" customHeight="1">
      <c r="B707" s="16" t="s">
        <v>57</v>
      </c>
      <c r="C707" s="16" t="s">
        <v>72</v>
      </c>
      <c r="D707" s="16" t="s">
        <v>767</v>
      </c>
      <c r="E707" s="30">
        <v>45.0</v>
      </c>
      <c r="F707" s="16">
        <v>4.7</v>
      </c>
      <c r="G707" s="16">
        <v>200.0</v>
      </c>
      <c r="H707" s="31" t="s">
        <v>71</v>
      </c>
    </row>
    <row r="708" ht="15.75" customHeight="1">
      <c r="B708" s="16" t="s">
        <v>57</v>
      </c>
      <c r="C708" s="16" t="s">
        <v>72</v>
      </c>
      <c r="D708" s="16" t="s">
        <v>768</v>
      </c>
      <c r="E708" s="30">
        <v>45.0</v>
      </c>
      <c r="F708" s="16">
        <v>4.9</v>
      </c>
      <c r="G708" s="16">
        <v>240.0</v>
      </c>
      <c r="H708" s="31" t="s">
        <v>71</v>
      </c>
    </row>
    <row r="709" ht="15.75" customHeight="1">
      <c r="B709" s="16" t="s">
        <v>57</v>
      </c>
      <c r="C709" s="16" t="s">
        <v>72</v>
      </c>
      <c r="D709" s="16" t="s">
        <v>769</v>
      </c>
      <c r="E709" s="30">
        <v>45.0</v>
      </c>
      <c r="F709" s="16">
        <v>5.0</v>
      </c>
      <c r="G709" s="16">
        <v>250.0</v>
      </c>
      <c r="H709" s="31" t="s">
        <v>71</v>
      </c>
    </row>
    <row r="710" ht="15.75" customHeight="1">
      <c r="B710" s="16" t="s">
        <v>57</v>
      </c>
      <c r="C710" s="16" t="s">
        <v>72</v>
      </c>
      <c r="D710" s="16" t="s">
        <v>770</v>
      </c>
      <c r="E710" s="30">
        <v>45.0</v>
      </c>
      <c r="F710" s="16">
        <v>0.0</v>
      </c>
      <c r="G710" s="16">
        <v>500.0</v>
      </c>
      <c r="H710" s="31" t="s">
        <v>71</v>
      </c>
    </row>
    <row r="711" ht="15.75" customHeight="1">
      <c r="B711" s="16" t="s">
        <v>57</v>
      </c>
      <c r="C711" s="16" t="s">
        <v>72</v>
      </c>
      <c r="D711" s="16" t="s">
        <v>771</v>
      </c>
      <c r="E711" s="30">
        <v>45.0</v>
      </c>
      <c r="F711" s="16">
        <v>0.0</v>
      </c>
      <c r="G711" s="16">
        <v>300.0</v>
      </c>
      <c r="H711" s="31" t="s">
        <v>71</v>
      </c>
    </row>
    <row r="712" ht="15.75" customHeight="1">
      <c r="B712" s="16" t="s">
        <v>57</v>
      </c>
      <c r="C712" s="16" t="s">
        <v>142</v>
      </c>
      <c r="D712" s="16" t="s">
        <v>772</v>
      </c>
      <c r="E712" s="30">
        <v>45.0</v>
      </c>
      <c r="F712" s="16">
        <v>4.4</v>
      </c>
      <c r="G712" s="16">
        <v>180.0</v>
      </c>
      <c r="H712" s="31" t="s">
        <v>71</v>
      </c>
    </row>
    <row r="713" ht="15.75" customHeight="1">
      <c r="B713" s="16" t="s">
        <v>57</v>
      </c>
      <c r="C713" s="16" t="s">
        <v>72</v>
      </c>
      <c r="D713" s="16" t="s">
        <v>773</v>
      </c>
      <c r="E713" s="30">
        <v>48.5</v>
      </c>
      <c r="F713" s="16">
        <v>4.7</v>
      </c>
      <c r="G713" s="16">
        <v>130.0</v>
      </c>
      <c r="H713" s="31" t="s">
        <v>71</v>
      </c>
    </row>
    <row r="714" ht="15.75" customHeight="1">
      <c r="B714" s="16" t="s">
        <v>57</v>
      </c>
      <c r="C714" s="16" t="s">
        <v>72</v>
      </c>
      <c r="D714" s="16" t="s">
        <v>774</v>
      </c>
      <c r="E714" s="30">
        <v>50.0</v>
      </c>
      <c r="F714" s="16">
        <v>0.0</v>
      </c>
      <c r="G714" s="16">
        <v>350.0</v>
      </c>
      <c r="H714" s="31" t="s">
        <v>71</v>
      </c>
    </row>
    <row r="715" ht="15.75" customHeight="1">
      <c r="B715" s="16" t="s">
        <v>57</v>
      </c>
      <c r="C715" s="16" t="s">
        <v>72</v>
      </c>
      <c r="D715" s="16" t="s">
        <v>775</v>
      </c>
      <c r="E715" s="30">
        <v>50.0</v>
      </c>
      <c r="F715" s="16">
        <v>4.8</v>
      </c>
      <c r="G715" s="16">
        <v>90.0</v>
      </c>
      <c r="H715" s="31" t="s">
        <v>71</v>
      </c>
    </row>
    <row r="716" ht="15.75" customHeight="1">
      <c r="B716" s="16" t="s">
        <v>57</v>
      </c>
      <c r="C716" s="16" t="s">
        <v>72</v>
      </c>
      <c r="D716" s="16" t="s">
        <v>776</v>
      </c>
      <c r="E716" s="30">
        <v>50.0</v>
      </c>
      <c r="F716" s="16">
        <v>0.0</v>
      </c>
      <c r="G716" s="16">
        <v>200.0</v>
      </c>
      <c r="H716" s="31" t="s">
        <v>71</v>
      </c>
    </row>
    <row r="717" ht="15.75" customHeight="1">
      <c r="B717" s="16" t="s">
        <v>57</v>
      </c>
      <c r="C717" s="16" t="s">
        <v>72</v>
      </c>
      <c r="D717" s="16" t="s">
        <v>777</v>
      </c>
      <c r="E717" s="30">
        <v>50.0</v>
      </c>
      <c r="F717" s="16">
        <v>0.0</v>
      </c>
      <c r="G717" s="16">
        <v>70.0</v>
      </c>
      <c r="H717" s="31" t="s">
        <v>71</v>
      </c>
    </row>
    <row r="718" ht="15.75" customHeight="1">
      <c r="B718" s="16" t="s">
        <v>57</v>
      </c>
      <c r="C718" s="16" t="s">
        <v>72</v>
      </c>
      <c r="D718" s="16" t="s">
        <v>778</v>
      </c>
      <c r="E718" s="30">
        <v>50.0</v>
      </c>
      <c r="F718" s="16">
        <v>0.0</v>
      </c>
      <c r="G718" s="16">
        <v>0.0</v>
      </c>
      <c r="H718" s="31" t="s">
        <v>71</v>
      </c>
    </row>
    <row r="719" ht="15.75" customHeight="1">
      <c r="B719" s="16" t="s">
        <v>57</v>
      </c>
      <c r="C719" s="16" t="s">
        <v>72</v>
      </c>
      <c r="D719" s="16" t="s">
        <v>779</v>
      </c>
      <c r="E719" s="30">
        <v>50.0</v>
      </c>
      <c r="F719" s="16">
        <v>0.0</v>
      </c>
      <c r="G719" s="16">
        <v>150.0</v>
      </c>
      <c r="H719" s="31" t="s">
        <v>71</v>
      </c>
    </row>
    <row r="720" ht="15.75" customHeight="1">
      <c r="B720" s="16" t="s">
        <v>57</v>
      </c>
      <c r="C720" s="16" t="s">
        <v>72</v>
      </c>
      <c r="D720" s="16" t="s">
        <v>780</v>
      </c>
      <c r="E720" s="30">
        <v>50.0</v>
      </c>
      <c r="F720" s="16">
        <v>5.0</v>
      </c>
      <c r="G720" s="16">
        <v>150.0</v>
      </c>
      <c r="H720" s="31" t="s">
        <v>71</v>
      </c>
    </row>
    <row r="721" ht="15.75" customHeight="1">
      <c r="B721" s="16" t="s">
        <v>57</v>
      </c>
      <c r="C721" s="16" t="s">
        <v>72</v>
      </c>
      <c r="D721" s="16" t="s">
        <v>781</v>
      </c>
      <c r="E721" s="30">
        <v>50.0</v>
      </c>
      <c r="F721" s="16">
        <v>0.0</v>
      </c>
      <c r="G721" s="16">
        <v>70.0</v>
      </c>
      <c r="H721" s="31" t="s">
        <v>71</v>
      </c>
    </row>
    <row r="722" ht="15.75" customHeight="1">
      <c r="B722" s="16" t="s">
        <v>57</v>
      </c>
      <c r="C722" s="16" t="s">
        <v>72</v>
      </c>
      <c r="D722" s="16" t="s">
        <v>782</v>
      </c>
      <c r="E722" s="30">
        <v>50.0</v>
      </c>
      <c r="F722" s="16">
        <v>0.0</v>
      </c>
      <c r="G722" s="16">
        <v>150.0</v>
      </c>
      <c r="H722" s="31" t="s">
        <v>71</v>
      </c>
    </row>
    <row r="723" ht="15.75" customHeight="1">
      <c r="B723" s="16" t="s">
        <v>57</v>
      </c>
      <c r="C723" s="16" t="s">
        <v>72</v>
      </c>
      <c r="D723" s="16" t="s">
        <v>783</v>
      </c>
      <c r="E723" s="30">
        <v>50.0</v>
      </c>
      <c r="F723" s="16">
        <v>0.0</v>
      </c>
      <c r="G723" s="16">
        <v>300.0</v>
      </c>
      <c r="H723" s="31" t="s">
        <v>71</v>
      </c>
    </row>
    <row r="724" ht="15.75" customHeight="1">
      <c r="B724" s="16" t="s">
        <v>57</v>
      </c>
      <c r="C724" s="16" t="s">
        <v>72</v>
      </c>
      <c r="D724" s="16" t="s">
        <v>784</v>
      </c>
      <c r="E724" s="30">
        <v>50.0</v>
      </c>
      <c r="F724" s="16">
        <v>0.0</v>
      </c>
      <c r="G724" s="16">
        <v>250.0</v>
      </c>
      <c r="H724" s="31" t="s">
        <v>71</v>
      </c>
    </row>
    <row r="725" ht="15.75" customHeight="1">
      <c r="B725" s="16" t="s">
        <v>57</v>
      </c>
      <c r="C725" s="16" t="s">
        <v>77</v>
      </c>
      <c r="D725" s="16" t="s">
        <v>785</v>
      </c>
      <c r="E725" s="30">
        <v>50.0</v>
      </c>
      <c r="F725" s="16">
        <v>4.6</v>
      </c>
      <c r="G725" s="16">
        <v>50.0</v>
      </c>
      <c r="H725" s="31" t="s">
        <v>71</v>
      </c>
    </row>
    <row r="726" ht="15.75" customHeight="1">
      <c r="B726" s="16" t="s">
        <v>57</v>
      </c>
      <c r="C726" s="16" t="s">
        <v>77</v>
      </c>
      <c r="D726" s="16" t="s">
        <v>786</v>
      </c>
      <c r="E726" s="30">
        <v>50.0</v>
      </c>
      <c r="F726" s="16">
        <v>5.0</v>
      </c>
      <c r="G726" s="16">
        <v>350.0</v>
      </c>
      <c r="H726" s="31" t="s">
        <v>71</v>
      </c>
    </row>
    <row r="727" ht="15.75" customHeight="1">
      <c r="B727" s="16" t="s">
        <v>57</v>
      </c>
      <c r="C727" s="16" t="s">
        <v>142</v>
      </c>
      <c r="D727" s="16" t="s">
        <v>787</v>
      </c>
      <c r="E727" s="30">
        <v>50.0</v>
      </c>
      <c r="F727" s="16">
        <v>5.0</v>
      </c>
      <c r="G727" s="16">
        <v>100.0</v>
      </c>
      <c r="H727" s="31" t="s">
        <v>71</v>
      </c>
    </row>
    <row r="728" ht="15.75" customHeight="1">
      <c r="B728" s="16" t="s">
        <v>57</v>
      </c>
      <c r="C728" s="16" t="s">
        <v>142</v>
      </c>
      <c r="D728" s="16" t="s">
        <v>788</v>
      </c>
      <c r="E728" s="30">
        <v>50.0</v>
      </c>
      <c r="F728" s="16">
        <v>0.0</v>
      </c>
      <c r="G728" s="16">
        <v>60.0</v>
      </c>
      <c r="H728" s="31" t="s">
        <v>71</v>
      </c>
    </row>
    <row r="729" ht="15.75" customHeight="1">
      <c r="B729" s="16" t="s">
        <v>57</v>
      </c>
      <c r="C729" s="16" t="s">
        <v>72</v>
      </c>
      <c r="D729" s="16" t="s">
        <v>789</v>
      </c>
      <c r="E729" s="30">
        <v>52.5</v>
      </c>
      <c r="F729" s="16">
        <v>5.0</v>
      </c>
      <c r="G729" s="16">
        <v>350.0</v>
      </c>
      <c r="H729" s="31" t="s">
        <v>71</v>
      </c>
    </row>
    <row r="730" ht="15.75" customHeight="1">
      <c r="B730" s="16" t="s">
        <v>57</v>
      </c>
      <c r="C730" s="16" t="s">
        <v>72</v>
      </c>
      <c r="D730" s="16" t="s">
        <v>157</v>
      </c>
      <c r="E730" s="30">
        <v>55.0</v>
      </c>
      <c r="F730" s="16">
        <v>5.0</v>
      </c>
      <c r="G730" s="16">
        <v>250.0</v>
      </c>
      <c r="H730" s="31" t="s">
        <v>71</v>
      </c>
    </row>
    <row r="731" ht="15.75" customHeight="1">
      <c r="B731" s="16" t="s">
        <v>57</v>
      </c>
      <c r="C731" s="16" t="s">
        <v>72</v>
      </c>
      <c r="D731" s="16" t="s">
        <v>790</v>
      </c>
      <c r="E731" s="30">
        <v>55.0</v>
      </c>
      <c r="F731" s="16">
        <v>0.0</v>
      </c>
      <c r="G731" s="16">
        <v>120.0</v>
      </c>
      <c r="H731" s="31" t="s">
        <v>71</v>
      </c>
    </row>
    <row r="732" ht="15.75" customHeight="1">
      <c r="B732" s="16" t="s">
        <v>57</v>
      </c>
      <c r="C732" s="16" t="s">
        <v>72</v>
      </c>
      <c r="D732" s="16" t="s">
        <v>791</v>
      </c>
      <c r="E732" s="30">
        <v>55.0</v>
      </c>
      <c r="F732" s="16">
        <v>0.0</v>
      </c>
      <c r="G732" s="16">
        <v>250.0</v>
      </c>
      <c r="H732" s="31" t="s">
        <v>71</v>
      </c>
    </row>
    <row r="733" ht="15.75" customHeight="1">
      <c r="B733" s="16" t="s">
        <v>57</v>
      </c>
      <c r="C733" s="16" t="s">
        <v>72</v>
      </c>
      <c r="D733" s="16" t="s">
        <v>792</v>
      </c>
      <c r="E733" s="30">
        <v>55.0</v>
      </c>
      <c r="F733" s="16">
        <v>0.0</v>
      </c>
      <c r="G733" s="16">
        <v>150.0</v>
      </c>
      <c r="H733" s="31" t="s">
        <v>71</v>
      </c>
    </row>
    <row r="734" ht="15.75" customHeight="1">
      <c r="B734" s="16" t="s">
        <v>57</v>
      </c>
      <c r="C734" s="16" t="s">
        <v>142</v>
      </c>
      <c r="D734" s="16" t="s">
        <v>793</v>
      </c>
      <c r="E734" s="30">
        <v>55.0</v>
      </c>
      <c r="F734" s="16">
        <v>0.0</v>
      </c>
      <c r="G734" s="16">
        <v>1500.0</v>
      </c>
      <c r="H734" s="31" t="s">
        <v>71</v>
      </c>
    </row>
    <row r="735" ht="15.75" customHeight="1">
      <c r="B735" s="16" t="s">
        <v>57</v>
      </c>
      <c r="C735" s="16" t="s">
        <v>72</v>
      </c>
      <c r="D735" s="16" t="s">
        <v>794</v>
      </c>
      <c r="E735" s="30">
        <v>57.5</v>
      </c>
      <c r="F735" s="16">
        <v>4.6</v>
      </c>
      <c r="G735" s="16">
        <v>170.0</v>
      </c>
      <c r="H735" s="31" t="s">
        <v>71</v>
      </c>
    </row>
    <row r="736" ht="15.75" customHeight="1">
      <c r="B736" s="16" t="s">
        <v>57</v>
      </c>
      <c r="C736" s="16" t="s">
        <v>72</v>
      </c>
      <c r="D736" s="16" t="s">
        <v>795</v>
      </c>
      <c r="E736" s="30">
        <v>58.0</v>
      </c>
      <c r="F736" s="16">
        <v>4.9</v>
      </c>
      <c r="G736" s="16">
        <v>180.0</v>
      </c>
      <c r="H736" s="31" t="s">
        <v>71</v>
      </c>
    </row>
    <row r="737" ht="15.75" customHeight="1">
      <c r="B737" s="16" t="s">
        <v>57</v>
      </c>
      <c r="C737" s="16" t="s">
        <v>72</v>
      </c>
      <c r="D737" s="16" t="s">
        <v>796</v>
      </c>
      <c r="E737" s="30">
        <v>58.0</v>
      </c>
      <c r="F737" s="16">
        <v>4.9</v>
      </c>
      <c r="G737" s="16">
        <v>220.0</v>
      </c>
      <c r="H737" s="31" t="s">
        <v>71</v>
      </c>
    </row>
    <row r="738" ht="15.75" customHeight="1">
      <c r="B738" s="16" t="s">
        <v>57</v>
      </c>
      <c r="C738" s="16" t="s">
        <v>72</v>
      </c>
      <c r="D738" s="16" t="s">
        <v>797</v>
      </c>
      <c r="E738" s="30">
        <v>59.0</v>
      </c>
      <c r="F738" s="16">
        <v>4.9</v>
      </c>
      <c r="G738" s="16">
        <v>200.0</v>
      </c>
      <c r="H738" s="31" t="s">
        <v>71</v>
      </c>
    </row>
    <row r="739" ht="15.75" customHeight="1">
      <c r="B739" s="16" t="s">
        <v>57</v>
      </c>
      <c r="C739" s="16" t="s">
        <v>72</v>
      </c>
      <c r="D739" s="16" t="s">
        <v>798</v>
      </c>
      <c r="E739" s="30">
        <v>60.0</v>
      </c>
      <c r="F739" s="16">
        <v>5.0</v>
      </c>
      <c r="G739" s="16">
        <v>350.0</v>
      </c>
      <c r="H739" s="31" t="s">
        <v>71</v>
      </c>
    </row>
    <row r="740" ht="15.75" customHeight="1">
      <c r="B740" s="16" t="s">
        <v>57</v>
      </c>
      <c r="C740" s="16" t="s">
        <v>72</v>
      </c>
      <c r="D740" s="16" t="s">
        <v>799</v>
      </c>
      <c r="E740" s="30">
        <v>60.0</v>
      </c>
      <c r="F740" s="16">
        <v>5.0</v>
      </c>
      <c r="G740" s="16">
        <v>500.0</v>
      </c>
      <c r="H740" s="31" t="s">
        <v>71</v>
      </c>
    </row>
    <row r="741" ht="15.75" customHeight="1">
      <c r="B741" s="16" t="s">
        <v>57</v>
      </c>
      <c r="C741" s="16" t="s">
        <v>72</v>
      </c>
      <c r="D741" s="16" t="s">
        <v>164</v>
      </c>
      <c r="E741" s="30">
        <v>60.0</v>
      </c>
      <c r="F741" s="16">
        <v>5.0</v>
      </c>
      <c r="G741" s="16">
        <v>250.0</v>
      </c>
      <c r="H741" s="31" t="s">
        <v>71</v>
      </c>
    </row>
    <row r="742" ht="15.75" customHeight="1">
      <c r="B742" s="16" t="s">
        <v>57</v>
      </c>
      <c r="C742" s="16" t="s">
        <v>72</v>
      </c>
      <c r="D742" s="16" t="s">
        <v>800</v>
      </c>
      <c r="E742" s="30">
        <v>60.0</v>
      </c>
      <c r="F742" s="16">
        <v>0.0</v>
      </c>
      <c r="G742" s="16">
        <v>70.0</v>
      </c>
      <c r="H742" s="31" t="s">
        <v>71</v>
      </c>
    </row>
    <row r="743" ht="15.75" customHeight="1">
      <c r="B743" s="16" t="s">
        <v>57</v>
      </c>
      <c r="C743" s="16" t="s">
        <v>72</v>
      </c>
      <c r="D743" s="16" t="s">
        <v>801</v>
      </c>
      <c r="E743" s="30">
        <v>60.0</v>
      </c>
      <c r="F743" s="16">
        <v>5.0</v>
      </c>
      <c r="G743" s="16">
        <v>150.0</v>
      </c>
      <c r="H743" s="31" t="s">
        <v>71</v>
      </c>
    </row>
    <row r="744" ht="15.75" customHeight="1">
      <c r="B744" s="16" t="s">
        <v>57</v>
      </c>
      <c r="C744" s="16" t="s">
        <v>72</v>
      </c>
      <c r="D744" s="16" t="s">
        <v>802</v>
      </c>
      <c r="E744" s="30">
        <v>60.0</v>
      </c>
      <c r="F744" s="16">
        <v>4.8</v>
      </c>
      <c r="G744" s="16">
        <v>160.0</v>
      </c>
      <c r="H744" s="31" t="s">
        <v>71</v>
      </c>
    </row>
    <row r="745" ht="15.75" customHeight="1">
      <c r="B745" s="16" t="s">
        <v>57</v>
      </c>
      <c r="C745" s="16" t="s">
        <v>72</v>
      </c>
      <c r="D745" s="16" t="s">
        <v>647</v>
      </c>
      <c r="E745" s="30">
        <v>60.0</v>
      </c>
      <c r="F745" s="16">
        <v>4.9</v>
      </c>
      <c r="G745" s="16">
        <v>400.0</v>
      </c>
      <c r="H745" s="31" t="s">
        <v>71</v>
      </c>
    </row>
    <row r="746" ht="15.75" customHeight="1">
      <c r="B746" s="16" t="s">
        <v>57</v>
      </c>
      <c r="C746" s="16" t="s">
        <v>72</v>
      </c>
      <c r="D746" s="16" t="s">
        <v>803</v>
      </c>
      <c r="E746" s="30">
        <v>60.0</v>
      </c>
      <c r="F746" s="16">
        <v>4.8</v>
      </c>
      <c r="G746" s="16">
        <v>250.0</v>
      </c>
      <c r="H746" s="31" t="s">
        <v>71</v>
      </c>
    </row>
    <row r="747" ht="15.75" customHeight="1">
      <c r="B747" s="16" t="s">
        <v>57</v>
      </c>
      <c r="C747" s="16" t="s">
        <v>72</v>
      </c>
      <c r="D747" s="16" t="s">
        <v>804</v>
      </c>
      <c r="E747" s="30">
        <v>60.0</v>
      </c>
      <c r="F747" s="16">
        <v>5.0</v>
      </c>
      <c r="G747" s="16">
        <v>90.0</v>
      </c>
      <c r="H747" s="31" t="s">
        <v>71</v>
      </c>
    </row>
    <row r="748" ht="15.75" customHeight="1">
      <c r="B748" s="16" t="s">
        <v>57</v>
      </c>
      <c r="C748" s="16" t="s">
        <v>72</v>
      </c>
      <c r="D748" s="16" t="s">
        <v>805</v>
      </c>
      <c r="E748" s="30">
        <v>60.0</v>
      </c>
      <c r="F748" s="16">
        <v>5.0</v>
      </c>
      <c r="G748" s="16">
        <v>300.0</v>
      </c>
      <c r="H748" s="31" t="s">
        <v>71</v>
      </c>
    </row>
    <row r="749" ht="15.75" customHeight="1">
      <c r="B749" s="16" t="s">
        <v>57</v>
      </c>
      <c r="C749" s="16" t="s">
        <v>72</v>
      </c>
      <c r="D749" s="16" t="s">
        <v>126</v>
      </c>
      <c r="E749" s="30">
        <v>60.0</v>
      </c>
      <c r="F749" s="16">
        <v>5.0</v>
      </c>
      <c r="G749" s="16">
        <v>200.0</v>
      </c>
      <c r="H749" s="31" t="s">
        <v>71</v>
      </c>
    </row>
    <row r="750" ht="15.75" customHeight="1">
      <c r="B750" s="16" t="s">
        <v>57</v>
      </c>
      <c r="C750" s="16" t="s">
        <v>72</v>
      </c>
      <c r="D750" s="16" t="s">
        <v>806</v>
      </c>
      <c r="E750" s="30">
        <v>60.0</v>
      </c>
      <c r="F750" s="16">
        <v>0.0</v>
      </c>
      <c r="G750" s="16">
        <v>100.0</v>
      </c>
      <c r="H750" s="31" t="s">
        <v>71</v>
      </c>
    </row>
    <row r="751" ht="15.75" customHeight="1">
      <c r="B751" s="16" t="s">
        <v>57</v>
      </c>
      <c r="C751" s="16" t="s">
        <v>72</v>
      </c>
      <c r="D751" s="16" t="s">
        <v>807</v>
      </c>
      <c r="E751" s="30">
        <v>60.0</v>
      </c>
      <c r="F751" s="16">
        <v>5.0</v>
      </c>
      <c r="G751" s="16">
        <v>300.0</v>
      </c>
      <c r="H751" s="31" t="s">
        <v>71</v>
      </c>
    </row>
    <row r="752" ht="15.75" customHeight="1">
      <c r="B752" s="16" t="s">
        <v>57</v>
      </c>
      <c r="C752" s="16" t="s">
        <v>72</v>
      </c>
      <c r="D752" s="16" t="s">
        <v>808</v>
      </c>
      <c r="E752" s="30">
        <v>60.0</v>
      </c>
      <c r="F752" s="16">
        <v>5.0</v>
      </c>
      <c r="G752" s="16">
        <v>100.0</v>
      </c>
      <c r="H752" s="31" t="s">
        <v>71</v>
      </c>
    </row>
    <row r="753" ht="15.75" customHeight="1">
      <c r="B753" s="16" t="s">
        <v>57</v>
      </c>
      <c r="C753" s="16" t="s">
        <v>72</v>
      </c>
      <c r="D753" s="16" t="s">
        <v>809</v>
      </c>
      <c r="E753" s="30">
        <v>60.0</v>
      </c>
      <c r="F753" s="16">
        <v>5.0</v>
      </c>
      <c r="G753" s="16">
        <v>100.0</v>
      </c>
      <c r="H753" s="31" t="s">
        <v>71</v>
      </c>
    </row>
    <row r="754" ht="15.75" customHeight="1">
      <c r="B754" s="16" t="s">
        <v>57</v>
      </c>
      <c r="C754" s="16" t="s">
        <v>72</v>
      </c>
      <c r="D754" s="16" t="s">
        <v>810</v>
      </c>
      <c r="E754" s="30">
        <v>60.0</v>
      </c>
      <c r="F754" s="16">
        <v>0.0</v>
      </c>
      <c r="G754" s="16">
        <v>100.0</v>
      </c>
      <c r="H754" s="31" t="s">
        <v>71</v>
      </c>
    </row>
    <row r="755" ht="15.75" customHeight="1">
      <c r="B755" s="16" t="s">
        <v>57</v>
      </c>
      <c r="C755" s="16" t="s">
        <v>72</v>
      </c>
      <c r="D755" s="16" t="s">
        <v>811</v>
      </c>
      <c r="E755" s="30">
        <v>60.0</v>
      </c>
      <c r="F755" s="16">
        <v>0.0</v>
      </c>
      <c r="G755" s="16">
        <v>150.0</v>
      </c>
      <c r="H755" s="31" t="s">
        <v>71</v>
      </c>
    </row>
    <row r="756" ht="15.75" customHeight="1">
      <c r="B756" s="16" t="s">
        <v>57</v>
      </c>
      <c r="C756" s="16" t="s">
        <v>77</v>
      </c>
      <c r="D756" s="16" t="s">
        <v>812</v>
      </c>
      <c r="E756" s="30">
        <v>60.0</v>
      </c>
      <c r="F756" s="16">
        <v>3.9</v>
      </c>
      <c r="G756" s="16">
        <v>60.0</v>
      </c>
      <c r="H756" s="31" t="s">
        <v>71</v>
      </c>
    </row>
    <row r="757" ht="15.75" customHeight="1">
      <c r="B757" s="16" t="s">
        <v>57</v>
      </c>
      <c r="C757" s="16" t="s">
        <v>77</v>
      </c>
      <c r="D757" s="16" t="s">
        <v>813</v>
      </c>
      <c r="E757" s="30">
        <v>60.0</v>
      </c>
      <c r="F757" s="16">
        <v>5.0</v>
      </c>
      <c r="G757" s="16">
        <v>150.0</v>
      </c>
      <c r="H757" s="31" t="s">
        <v>71</v>
      </c>
    </row>
    <row r="758" ht="15.75" customHeight="1">
      <c r="B758" s="16" t="s">
        <v>57</v>
      </c>
      <c r="C758" s="16" t="s">
        <v>142</v>
      </c>
      <c r="D758" s="16" t="s">
        <v>814</v>
      </c>
      <c r="E758" s="30">
        <v>60.0</v>
      </c>
      <c r="F758" s="16">
        <v>4.9</v>
      </c>
      <c r="G758" s="16">
        <v>160.0</v>
      </c>
      <c r="H758" s="31" t="s">
        <v>71</v>
      </c>
    </row>
    <row r="759" ht="15.75" customHeight="1">
      <c r="B759" s="16" t="s">
        <v>57</v>
      </c>
      <c r="C759" s="16" t="s">
        <v>142</v>
      </c>
      <c r="D759" s="16" t="s">
        <v>815</v>
      </c>
      <c r="E759" s="30">
        <v>60.0</v>
      </c>
      <c r="F759" s="16">
        <v>5.0</v>
      </c>
      <c r="G759" s="16">
        <v>43.0</v>
      </c>
      <c r="H759" s="31" t="s">
        <v>71</v>
      </c>
    </row>
    <row r="760" ht="15.75" customHeight="1">
      <c r="B760" s="16" t="s">
        <v>57</v>
      </c>
      <c r="C760" s="16" t="s">
        <v>72</v>
      </c>
      <c r="D760" s="16" t="s">
        <v>816</v>
      </c>
      <c r="E760" s="30">
        <v>61.0</v>
      </c>
      <c r="F760" s="16">
        <v>0.0</v>
      </c>
      <c r="G760" s="16">
        <v>200.0</v>
      </c>
      <c r="H760" s="31" t="s">
        <v>71</v>
      </c>
    </row>
    <row r="761" ht="15.75" customHeight="1">
      <c r="B761" s="16" t="s">
        <v>57</v>
      </c>
      <c r="C761" s="16" t="s">
        <v>72</v>
      </c>
      <c r="D761" s="16" t="s">
        <v>817</v>
      </c>
      <c r="E761" s="30">
        <v>62.5</v>
      </c>
      <c r="F761" s="16">
        <v>5.0</v>
      </c>
      <c r="G761" s="16">
        <v>220.0</v>
      </c>
      <c r="H761" s="31" t="s">
        <v>71</v>
      </c>
    </row>
    <row r="762" ht="15.75" customHeight="1">
      <c r="B762" s="16" t="s">
        <v>57</v>
      </c>
      <c r="C762" s="16" t="s">
        <v>72</v>
      </c>
      <c r="D762" s="16" t="s">
        <v>818</v>
      </c>
      <c r="E762" s="30">
        <v>65.0</v>
      </c>
      <c r="F762" s="16">
        <v>5.0</v>
      </c>
      <c r="G762" s="16">
        <v>250.0</v>
      </c>
      <c r="H762" s="31" t="s">
        <v>71</v>
      </c>
    </row>
    <row r="763" ht="15.75" customHeight="1">
      <c r="B763" s="16" t="s">
        <v>57</v>
      </c>
      <c r="C763" s="16" t="s">
        <v>72</v>
      </c>
      <c r="D763" s="16" t="s">
        <v>126</v>
      </c>
      <c r="E763" s="30">
        <v>65.0</v>
      </c>
      <c r="F763" s="16">
        <v>5.0</v>
      </c>
      <c r="G763" s="16">
        <v>200.0</v>
      </c>
      <c r="H763" s="31" t="s">
        <v>71</v>
      </c>
    </row>
    <row r="764" ht="15.75" customHeight="1">
      <c r="B764" s="16" t="s">
        <v>57</v>
      </c>
      <c r="C764" s="16" t="s">
        <v>72</v>
      </c>
      <c r="D764" s="16" t="s">
        <v>819</v>
      </c>
      <c r="E764" s="30">
        <v>65.0</v>
      </c>
      <c r="F764" s="16">
        <v>5.0</v>
      </c>
      <c r="G764" s="16">
        <v>500.0</v>
      </c>
      <c r="H764" s="31" t="s">
        <v>71</v>
      </c>
    </row>
    <row r="765" ht="15.75" customHeight="1">
      <c r="B765" s="16" t="s">
        <v>57</v>
      </c>
      <c r="C765" s="16" t="s">
        <v>72</v>
      </c>
      <c r="D765" s="16" t="s">
        <v>820</v>
      </c>
      <c r="E765" s="30">
        <v>65.0</v>
      </c>
      <c r="F765" s="16">
        <v>4.3</v>
      </c>
      <c r="G765" s="16">
        <v>250.0</v>
      </c>
      <c r="H765" s="31" t="s">
        <v>71</v>
      </c>
    </row>
    <row r="766" ht="15.75" customHeight="1">
      <c r="B766" s="16" t="s">
        <v>57</v>
      </c>
      <c r="C766" s="16" t="s">
        <v>72</v>
      </c>
      <c r="D766" s="16" t="s">
        <v>821</v>
      </c>
      <c r="E766" s="30">
        <v>65.0</v>
      </c>
      <c r="F766" s="16">
        <v>4.9</v>
      </c>
      <c r="G766" s="16">
        <v>250.0</v>
      </c>
      <c r="H766" s="31" t="s">
        <v>71</v>
      </c>
    </row>
    <row r="767" ht="15.75" customHeight="1">
      <c r="B767" s="16" t="s">
        <v>57</v>
      </c>
      <c r="C767" s="16" t="s">
        <v>72</v>
      </c>
      <c r="D767" s="16" t="s">
        <v>822</v>
      </c>
      <c r="E767" s="30">
        <v>65.0</v>
      </c>
      <c r="F767" s="16">
        <v>5.0</v>
      </c>
      <c r="G767" s="16">
        <v>250.0</v>
      </c>
      <c r="H767" s="31" t="s">
        <v>71</v>
      </c>
    </row>
    <row r="768" ht="15.75" customHeight="1">
      <c r="B768" s="16" t="s">
        <v>57</v>
      </c>
      <c r="C768" s="16" t="s">
        <v>72</v>
      </c>
      <c r="D768" s="16" t="s">
        <v>823</v>
      </c>
      <c r="E768" s="30">
        <v>65.0</v>
      </c>
      <c r="F768" s="16">
        <v>4.9</v>
      </c>
      <c r="G768" s="16">
        <v>200.0</v>
      </c>
      <c r="H768" s="31" t="s">
        <v>71</v>
      </c>
    </row>
    <row r="769" ht="15.75" customHeight="1">
      <c r="B769" s="16" t="s">
        <v>57</v>
      </c>
      <c r="C769" s="16" t="s">
        <v>72</v>
      </c>
      <c r="D769" s="16" t="s">
        <v>824</v>
      </c>
      <c r="E769" s="30">
        <v>65.0</v>
      </c>
      <c r="F769" s="16">
        <v>4.9</v>
      </c>
      <c r="G769" s="16">
        <v>220.0</v>
      </c>
      <c r="H769" s="31" t="s">
        <v>71</v>
      </c>
    </row>
    <row r="770" ht="15.75" customHeight="1">
      <c r="B770" s="16" t="s">
        <v>57</v>
      </c>
      <c r="C770" s="16" t="s">
        <v>72</v>
      </c>
      <c r="D770" s="16" t="s">
        <v>825</v>
      </c>
      <c r="E770" s="30">
        <v>65.0</v>
      </c>
      <c r="F770" s="16">
        <v>0.0</v>
      </c>
      <c r="G770" s="16">
        <v>60.0</v>
      </c>
      <c r="H770" s="31" t="s">
        <v>71</v>
      </c>
    </row>
    <row r="771" ht="15.75" customHeight="1">
      <c r="B771" s="16" t="s">
        <v>57</v>
      </c>
      <c r="C771" s="16" t="s">
        <v>72</v>
      </c>
      <c r="D771" s="16" t="s">
        <v>826</v>
      </c>
      <c r="E771" s="30">
        <v>65.0</v>
      </c>
      <c r="F771" s="16">
        <v>5.0</v>
      </c>
      <c r="G771" s="16">
        <v>75.0</v>
      </c>
      <c r="H771" s="31" t="s">
        <v>71</v>
      </c>
    </row>
    <row r="772" ht="15.75" customHeight="1">
      <c r="B772" s="16" t="s">
        <v>57</v>
      </c>
      <c r="C772" s="16" t="s">
        <v>77</v>
      </c>
      <c r="D772" s="16" t="s">
        <v>827</v>
      </c>
      <c r="E772" s="30">
        <v>65.0</v>
      </c>
      <c r="F772" s="16">
        <v>5.0</v>
      </c>
      <c r="G772" s="16">
        <v>250.0</v>
      </c>
      <c r="H772" s="31" t="s">
        <v>71</v>
      </c>
    </row>
    <row r="773" ht="15.75" customHeight="1">
      <c r="B773" s="16" t="s">
        <v>57</v>
      </c>
      <c r="C773" s="16" t="s">
        <v>72</v>
      </c>
      <c r="D773" s="16" t="s">
        <v>828</v>
      </c>
      <c r="E773" s="30">
        <v>68.0</v>
      </c>
      <c r="F773" s="16">
        <v>5.0</v>
      </c>
      <c r="G773" s="16">
        <v>180.0</v>
      </c>
      <c r="H773" s="31" t="s">
        <v>71</v>
      </c>
    </row>
    <row r="774" ht="15.75" customHeight="1">
      <c r="B774" s="16" t="s">
        <v>57</v>
      </c>
      <c r="C774" s="16" t="s">
        <v>72</v>
      </c>
      <c r="D774" s="16" t="s">
        <v>829</v>
      </c>
      <c r="E774" s="30">
        <v>68.0</v>
      </c>
      <c r="F774" s="16">
        <v>5.0</v>
      </c>
      <c r="G774" s="16">
        <v>95.0</v>
      </c>
      <c r="H774" s="31" t="s">
        <v>71</v>
      </c>
    </row>
    <row r="775" ht="15.75" customHeight="1">
      <c r="B775" s="16" t="s">
        <v>57</v>
      </c>
      <c r="C775" s="16" t="s">
        <v>72</v>
      </c>
      <c r="D775" s="16" t="s">
        <v>175</v>
      </c>
      <c r="E775" s="30">
        <v>69.5</v>
      </c>
      <c r="F775" s="16">
        <v>4.8</v>
      </c>
      <c r="G775" s="16">
        <v>350.0</v>
      </c>
      <c r="H775" s="31" t="s">
        <v>71</v>
      </c>
    </row>
    <row r="776" ht="15.75" customHeight="1">
      <c r="B776" s="16" t="s">
        <v>57</v>
      </c>
      <c r="C776" s="16" t="s">
        <v>72</v>
      </c>
      <c r="D776" s="16" t="s">
        <v>830</v>
      </c>
      <c r="E776" s="30">
        <v>70.0</v>
      </c>
      <c r="F776" s="16">
        <v>5.0</v>
      </c>
      <c r="G776" s="16">
        <v>300.0</v>
      </c>
      <c r="H776" s="31" t="s">
        <v>71</v>
      </c>
    </row>
    <row r="777" ht="15.75" customHeight="1">
      <c r="B777" s="16" t="s">
        <v>57</v>
      </c>
      <c r="C777" s="16" t="s">
        <v>72</v>
      </c>
      <c r="D777" s="16" t="s">
        <v>831</v>
      </c>
      <c r="E777" s="30">
        <v>70.0</v>
      </c>
      <c r="F777" s="16">
        <v>5.0</v>
      </c>
      <c r="G777" s="16">
        <v>250.0</v>
      </c>
      <c r="H777" s="31" t="s">
        <v>71</v>
      </c>
    </row>
    <row r="778" ht="15.75" customHeight="1">
      <c r="B778" s="16" t="s">
        <v>57</v>
      </c>
      <c r="C778" s="16" t="s">
        <v>72</v>
      </c>
      <c r="D778" s="16" t="s">
        <v>832</v>
      </c>
      <c r="E778" s="30">
        <v>70.0</v>
      </c>
      <c r="F778" s="16">
        <v>4.9</v>
      </c>
      <c r="G778" s="16">
        <v>300.0</v>
      </c>
      <c r="H778" s="31" t="s">
        <v>71</v>
      </c>
    </row>
    <row r="779" ht="15.75" customHeight="1">
      <c r="B779" s="16" t="s">
        <v>57</v>
      </c>
      <c r="C779" s="16" t="s">
        <v>72</v>
      </c>
      <c r="D779" s="16" t="s">
        <v>833</v>
      </c>
      <c r="E779" s="30">
        <v>70.0</v>
      </c>
      <c r="F779" s="16">
        <v>4.9</v>
      </c>
      <c r="G779" s="16">
        <v>250.0</v>
      </c>
      <c r="H779" s="31" t="s">
        <v>71</v>
      </c>
    </row>
    <row r="780" ht="15.75" customHeight="1">
      <c r="B780" s="16" t="s">
        <v>57</v>
      </c>
      <c r="C780" s="16" t="s">
        <v>72</v>
      </c>
      <c r="D780" s="16" t="s">
        <v>834</v>
      </c>
      <c r="E780" s="30">
        <v>70.0</v>
      </c>
      <c r="F780" s="16">
        <v>4.8</v>
      </c>
      <c r="G780" s="16">
        <v>400.0</v>
      </c>
      <c r="H780" s="31" t="s">
        <v>71</v>
      </c>
    </row>
    <row r="781" ht="15.75" customHeight="1">
      <c r="B781" s="16" t="s">
        <v>57</v>
      </c>
      <c r="C781" s="16" t="s">
        <v>72</v>
      </c>
      <c r="D781" s="16" t="s">
        <v>835</v>
      </c>
      <c r="E781" s="30">
        <v>70.0</v>
      </c>
      <c r="F781" s="16">
        <v>5.0</v>
      </c>
      <c r="G781" s="16">
        <v>400.0</v>
      </c>
      <c r="H781" s="31" t="s">
        <v>71</v>
      </c>
    </row>
    <row r="782" ht="15.75" customHeight="1">
      <c r="B782" s="16" t="s">
        <v>57</v>
      </c>
      <c r="C782" s="16" t="s">
        <v>72</v>
      </c>
      <c r="D782" s="16" t="s">
        <v>836</v>
      </c>
      <c r="E782" s="30">
        <v>70.0</v>
      </c>
      <c r="F782" s="16">
        <v>0.0</v>
      </c>
      <c r="G782" s="16">
        <v>250.0</v>
      </c>
      <c r="H782" s="31" t="s">
        <v>71</v>
      </c>
    </row>
    <row r="783" ht="15.75" customHeight="1">
      <c r="B783" s="16" t="s">
        <v>57</v>
      </c>
      <c r="C783" s="16" t="s">
        <v>72</v>
      </c>
      <c r="D783" s="16" t="s">
        <v>837</v>
      </c>
      <c r="E783" s="30">
        <v>70.0</v>
      </c>
      <c r="F783" s="16">
        <v>4.9</v>
      </c>
      <c r="G783" s="16">
        <v>350.0</v>
      </c>
      <c r="H783" s="31" t="s">
        <v>71</v>
      </c>
    </row>
    <row r="784" ht="15.75" customHeight="1">
      <c r="B784" s="16" t="s">
        <v>57</v>
      </c>
      <c r="C784" s="16" t="s">
        <v>72</v>
      </c>
      <c r="D784" s="16" t="s">
        <v>838</v>
      </c>
      <c r="E784" s="30">
        <v>70.0</v>
      </c>
      <c r="F784" s="16">
        <v>5.0</v>
      </c>
      <c r="G784" s="16">
        <v>250.0</v>
      </c>
      <c r="H784" s="31" t="s">
        <v>71</v>
      </c>
    </row>
    <row r="785" ht="15.75" customHeight="1">
      <c r="B785" s="16" t="s">
        <v>57</v>
      </c>
      <c r="C785" s="16" t="s">
        <v>72</v>
      </c>
      <c r="D785" s="16" t="s">
        <v>839</v>
      </c>
      <c r="E785" s="30">
        <v>70.0</v>
      </c>
      <c r="F785" s="16">
        <v>5.0</v>
      </c>
      <c r="G785" s="16">
        <v>30.0</v>
      </c>
      <c r="H785" s="31" t="s">
        <v>71</v>
      </c>
    </row>
    <row r="786" ht="15.75" customHeight="1">
      <c r="B786" s="16" t="s">
        <v>57</v>
      </c>
      <c r="C786" s="16" t="s">
        <v>72</v>
      </c>
      <c r="D786" s="16" t="s">
        <v>840</v>
      </c>
      <c r="E786" s="30">
        <v>70.0</v>
      </c>
      <c r="F786" s="16">
        <v>5.0</v>
      </c>
      <c r="G786" s="16">
        <v>240.0</v>
      </c>
      <c r="H786" s="31" t="s">
        <v>71</v>
      </c>
    </row>
    <row r="787" ht="15.75" customHeight="1">
      <c r="B787" s="16" t="s">
        <v>57</v>
      </c>
      <c r="C787" s="16" t="s">
        <v>72</v>
      </c>
      <c r="D787" s="16" t="s">
        <v>841</v>
      </c>
      <c r="E787" s="30">
        <v>70.0</v>
      </c>
      <c r="F787" s="16">
        <v>0.0</v>
      </c>
      <c r="G787" s="16">
        <v>40.0</v>
      </c>
      <c r="H787" s="31" t="s">
        <v>71</v>
      </c>
    </row>
    <row r="788" ht="15.75" customHeight="1">
      <c r="B788" s="16" t="s">
        <v>57</v>
      </c>
      <c r="C788" s="16" t="s">
        <v>72</v>
      </c>
      <c r="D788" s="16" t="s">
        <v>842</v>
      </c>
      <c r="E788" s="30">
        <v>70.0</v>
      </c>
      <c r="F788" s="16">
        <v>0.0</v>
      </c>
      <c r="G788" s="16">
        <v>220.0</v>
      </c>
      <c r="H788" s="31" t="s">
        <v>71</v>
      </c>
    </row>
    <row r="789" ht="15.75" customHeight="1">
      <c r="B789" s="16" t="s">
        <v>57</v>
      </c>
      <c r="C789" s="16" t="s">
        <v>142</v>
      </c>
      <c r="D789" s="16" t="s">
        <v>843</v>
      </c>
      <c r="E789" s="30">
        <v>70.0</v>
      </c>
      <c r="F789" s="16">
        <v>5.0</v>
      </c>
      <c r="G789" s="16">
        <v>250.0</v>
      </c>
      <c r="H789" s="31" t="s">
        <v>71</v>
      </c>
    </row>
    <row r="790" ht="15.75" customHeight="1">
      <c r="B790" s="16" t="s">
        <v>57</v>
      </c>
      <c r="C790" s="16" t="s">
        <v>72</v>
      </c>
      <c r="D790" s="16" t="s">
        <v>844</v>
      </c>
      <c r="E790" s="30">
        <v>71.0</v>
      </c>
      <c r="F790" s="16">
        <v>5.0</v>
      </c>
      <c r="G790" s="16">
        <v>250.0</v>
      </c>
      <c r="H790" s="31" t="s">
        <v>71</v>
      </c>
    </row>
    <row r="791" ht="15.75" customHeight="1">
      <c r="B791" s="16" t="s">
        <v>57</v>
      </c>
      <c r="C791" s="16" t="s">
        <v>72</v>
      </c>
      <c r="D791" s="16" t="s">
        <v>845</v>
      </c>
      <c r="E791" s="30">
        <v>72.0</v>
      </c>
      <c r="F791" s="16">
        <v>4.9</v>
      </c>
      <c r="G791" s="16">
        <v>72.0</v>
      </c>
      <c r="H791" s="31" t="s">
        <v>71</v>
      </c>
    </row>
    <row r="792" ht="15.75" customHeight="1">
      <c r="B792" s="16" t="s">
        <v>57</v>
      </c>
      <c r="C792" s="16" t="s">
        <v>77</v>
      </c>
      <c r="D792" s="16" t="s">
        <v>846</v>
      </c>
      <c r="E792" s="30">
        <v>73.5</v>
      </c>
      <c r="F792" s="16">
        <v>5.0</v>
      </c>
      <c r="G792" s="16">
        <v>260.0</v>
      </c>
      <c r="H792" s="31" t="s">
        <v>71</v>
      </c>
    </row>
    <row r="793" ht="15.75" customHeight="1">
      <c r="B793" s="16" t="s">
        <v>57</v>
      </c>
      <c r="C793" s="16" t="s">
        <v>72</v>
      </c>
      <c r="D793" s="16" t="s">
        <v>847</v>
      </c>
      <c r="E793" s="30">
        <v>74.0</v>
      </c>
      <c r="F793" s="16">
        <v>4.9</v>
      </c>
      <c r="G793" s="16">
        <v>240.0</v>
      </c>
      <c r="H793" s="31" t="s">
        <v>71</v>
      </c>
    </row>
    <row r="794" ht="15.75" customHeight="1">
      <c r="B794" s="16" t="s">
        <v>57</v>
      </c>
      <c r="C794" s="16" t="s">
        <v>72</v>
      </c>
      <c r="D794" s="16" t="s">
        <v>848</v>
      </c>
      <c r="E794" s="30">
        <v>75.0</v>
      </c>
      <c r="F794" s="16">
        <v>4.9</v>
      </c>
      <c r="G794" s="16">
        <v>350.0</v>
      </c>
      <c r="H794" s="31" t="s">
        <v>71</v>
      </c>
    </row>
    <row r="795" ht="15.75" customHeight="1">
      <c r="B795" s="16" t="s">
        <v>57</v>
      </c>
      <c r="C795" s="16" t="s">
        <v>72</v>
      </c>
      <c r="D795" s="16" t="s">
        <v>849</v>
      </c>
      <c r="E795" s="30">
        <v>75.0</v>
      </c>
      <c r="F795" s="16">
        <v>5.0</v>
      </c>
      <c r="G795" s="16">
        <v>300.0</v>
      </c>
      <c r="H795" s="31" t="s">
        <v>71</v>
      </c>
    </row>
    <row r="796" ht="15.75" customHeight="1">
      <c r="B796" s="16" t="s">
        <v>57</v>
      </c>
      <c r="C796" s="16" t="s">
        <v>72</v>
      </c>
      <c r="D796" s="16" t="s">
        <v>850</v>
      </c>
      <c r="E796" s="30">
        <v>75.0</v>
      </c>
      <c r="F796" s="16">
        <v>4.6</v>
      </c>
      <c r="G796" s="16">
        <v>230.0</v>
      </c>
      <c r="H796" s="31" t="s">
        <v>71</v>
      </c>
    </row>
    <row r="797" ht="15.75" customHeight="1">
      <c r="B797" s="16" t="s">
        <v>57</v>
      </c>
      <c r="C797" s="16" t="s">
        <v>72</v>
      </c>
      <c r="D797" s="16" t="s">
        <v>851</v>
      </c>
      <c r="E797" s="30">
        <v>75.0</v>
      </c>
      <c r="F797" s="16">
        <v>5.0</v>
      </c>
      <c r="G797" s="16">
        <v>350.0</v>
      </c>
      <c r="H797" s="31" t="s">
        <v>71</v>
      </c>
    </row>
    <row r="798" ht="15.75" customHeight="1">
      <c r="B798" s="16" t="s">
        <v>57</v>
      </c>
      <c r="C798" s="16" t="s">
        <v>72</v>
      </c>
      <c r="D798" s="16" t="s">
        <v>852</v>
      </c>
      <c r="E798" s="30">
        <v>75.0</v>
      </c>
      <c r="F798" s="16">
        <v>5.0</v>
      </c>
      <c r="G798" s="16">
        <v>210.0</v>
      </c>
      <c r="H798" s="31" t="s">
        <v>71</v>
      </c>
    </row>
    <row r="799" ht="15.75" customHeight="1">
      <c r="B799" s="16" t="s">
        <v>57</v>
      </c>
      <c r="C799" s="16" t="s">
        <v>72</v>
      </c>
      <c r="D799" s="16" t="s">
        <v>853</v>
      </c>
      <c r="E799" s="30">
        <v>75.0</v>
      </c>
      <c r="F799" s="16">
        <v>5.0</v>
      </c>
      <c r="G799" s="16">
        <v>500.0</v>
      </c>
      <c r="H799" s="31" t="s">
        <v>71</v>
      </c>
    </row>
    <row r="800" ht="15.75" customHeight="1">
      <c r="B800" s="16" t="s">
        <v>57</v>
      </c>
      <c r="C800" s="16" t="s">
        <v>72</v>
      </c>
      <c r="D800" s="16" t="s">
        <v>854</v>
      </c>
      <c r="E800" s="30">
        <v>75.0</v>
      </c>
      <c r="F800" s="16">
        <v>5.0</v>
      </c>
      <c r="G800" s="16">
        <v>400.0</v>
      </c>
      <c r="H800" s="31" t="s">
        <v>71</v>
      </c>
    </row>
    <row r="801" ht="15.75" customHeight="1">
      <c r="B801" s="16" t="s">
        <v>57</v>
      </c>
      <c r="C801" s="16" t="s">
        <v>72</v>
      </c>
      <c r="D801" s="16" t="s">
        <v>855</v>
      </c>
      <c r="E801" s="30">
        <v>75.0</v>
      </c>
      <c r="F801" s="16">
        <v>5.0</v>
      </c>
      <c r="G801" s="16">
        <v>320.0</v>
      </c>
      <c r="H801" s="31" t="s">
        <v>71</v>
      </c>
    </row>
    <row r="802" ht="15.75" customHeight="1">
      <c r="B802" s="16" t="s">
        <v>57</v>
      </c>
      <c r="C802" s="16" t="s">
        <v>72</v>
      </c>
      <c r="D802" s="16" t="s">
        <v>856</v>
      </c>
      <c r="E802" s="30">
        <v>75.0</v>
      </c>
      <c r="F802" s="16">
        <v>5.0</v>
      </c>
      <c r="G802" s="16">
        <v>250.0</v>
      </c>
      <c r="H802" s="31" t="s">
        <v>71</v>
      </c>
    </row>
    <row r="803" ht="15.75" customHeight="1">
      <c r="B803" s="16" t="s">
        <v>57</v>
      </c>
      <c r="C803" s="16" t="s">
        <v>72</v>
      </c>
      <c r="D803" s="16" t="s">
        <v>184</v>
      </c>
      <c r="E803" s="30">
        <v>75.0</v>
      </c>
      <c r="F803" s="16">
        <v>5.0</v>
      </c>
      <c r="G803" s="16">
        <v>350.0</v>
      </c>
      <c r="H803" s="31" t="s">
        <v>71</v>
      </c>
    </row>
    <row r="804" ht="15.75" customHeight="1">
      <c r="B804" s="16" t="s">
        <v>57</v>
      </c>
      <c r="C804" s="16" t="s">
        <v>72</v>
      </c>
      <c r="D804" s="16" t="s">
        <v>187</v>
      </c>
      <c r="E804" s="30">
        <v>75.0</v>
      </c>
      <c r="F804" s="16">
        <v>4.9</v>
      </c>
      <c r="G804" s="16">
        <v>300.0</v>
      </c>
      <c r="H804" s="31" t="s">
        <v>71</v>
      </c>
    </row>
    <row r="805" ht="15.75" customHeight="1">
      <c r="B805" s="16" t="s">
        <v>57</v>
      </c>
      <c r="C805" s="16" t="s">
        <v>72</v>
      </c>
      <c r="D805" s="16" t="s">
        <v>857</v>
      </c>
      <c r="E805" s="30">
        <v>75.0</v>
      </c>
      <c r="F805" s="16">
        <v>5.0</v>
      </c>
      <c r="G805" s="16">
        <v>110.0</v>
      </c>
      <c r="H805" s="31" t="s">
        <v>71</v>
      </c>
    </row>
    <row r="806" ht="15.75" customHeight="1">
      <c r="B806" s="16" t="s">
        <v>57</v>
      </c>
      <c r="C806" s="16" t="s">
        <v>72</v>
      </c>
      <c r="D806" s="16" t="s">
        <v>858</v>
      </c>
      <c r="E806" s="30">
        <v>75.0</v>
      </c>
      <c r="F806" s="16">
        <v>0.0</v>
      </c>
      <c r="G806" s="16">
        <v>350.0</v>
      </c>
      <c r="H806" s="31" t="s">
        <v>71</v>
      </c>
    </row>
    <row r="807" ht="15.75" customHeight="1">
      <c r="B807" s="16" t="s">
        <v>57</v>
      </c>
      <c r="C807" s="16" t="s">
        <v>77</v>
      </c>
      <c r="D807" s="16" t="s">
        <v>859</v>
      </c>
      <c r="E807" s="30">
        <v>75.0</v>
      </c>
      <c r="F807" s="16">
        <v>5.0</v>
      </c>
      <c r="G807" s="16">
        <v>90.0</v>
      </c>
      <c r="H807" s="31" t="s">
        <v>71</v>
      </c>
    </row>
    <row r="808" ht="15.75" customHeight="1">
      <c r="B808" s="16" t="s">
        <v>57</v>
      </c>
      <c r="C808" s="16" t="s">
        <v>142</v>
      </c>
      <c r="D808" s="16" t="s">
        <v>860</v>
      </c>
      <c r="E808" s="30">
        <v>75.0</v>
      </c>
      <c r="F808" s="16">
        <v>5.0</v>
      </c>
      <c r="G808" s="16">
        <v>80.0</v>
      </c>
      <c r="H808" s="31" t="s">
        <v>71</v>
      </c>
    </row>
    <row r="809" ht="15.75" customHeight="1">
      <c r="B809" s="16" t="s">
        <v>57</v>
      </c>
      <c r="C809" s="16" t="s">
        <v>72</v>
      </c>
      <c r="D809" s="16" t="s">
        <v>861</v>
      </c>
      <c r="E809" s="30">
        <v>76.0</v>
      </c>
      <c r="F809" s="16">
        <v>5.0</v>
      </c>
      <c r="G809" s="16">
        <v>350.0</v>
      </c>
      <c r="H809" s="31" t="s">
        <v>71</v>
      </c>
    </row>
    <row r="810" ht="15.75" customHeight="1">
      <c r="B810" s="16" t="s">
        <v>57</v>
      </c>
      <c r="C810" s="16" t="s">
        <v>77</v>
      </c>
      <c r="D810" s="16" t="s">
        <v>862</v>
      </c>
      <c r="E810" s="30">
        <v>77.5</v>
      </c>
      <c r="F810" s="16">
        <v>5.0</v>
      </c>
      <c r="G810" s="16">
        <v>600.0</v>
      </c>
      <c r="H810" s="31" t="s">
        <v>71</v>
      </c>
    </row>
    <row r="811" ht="15.75" customHeight="1">
      <c r="B811" s="16" t="s">
        <v>57</v>
      </c>
      <c r="C811" s="16" t="s">
        <v>72</v>
      </c>
      <c r="D811" s="16" t="s">
        <v>863</v>
      </c>
      <c r="E811" s="30">
        <v>79.5</v>
      </c>
      <c r="F811" s="16">
        <v>4.9</v>
      </c>
      <c r="G811" s="16">
        <v>400.0</v>
      </c>
      <c r="H811" s="31" t="s">
        <v>71</v>
      </c>
    </row>
    <row r="812" ht="15.75" customHeight="1">
      <c r="B812" s="16" t="s">
        <v>57</v>
      </c>
      <c r="C812" s="16" t="s">
        <v>72</v>
      </c>
      <c r="D812" s="16" t="s">
        <v>864</v>
      </c>
      <c r="E812" s="30">
        <v>80.0</v>
      </c>
      <c r="F812" s="16">
        <v>5.0</v>
      </c>
      <c r="G812" s="16">
        <v>300.0</v>
      </c>
      <c r="H812" s="31" t="s">
        <v>71</v>
      </c>
    </row>
    <row r="813" ht="15.75" customHeight="1">
      <c r="B813" s="16" t="s">
        <v>57</v>
      </c>
      <c r="C813" s="16" t="s">
        <v>72</v>
      </c>
      <c r="D813" s="16" t="s">
        <v>865</v>
      </c>
      <c r="E813" s="30">
        <v>80.0</v>
      </c>
      <c r="F813" s="16">
        <v>4.8</v>
      </c>
      <c r="G813" s="16">
        <v>220.0</v>
      </c>
      <c r="H813" s="31" t="s">
        <v>71</v>
      </c>
    </row>
    <row r="814" ht="15.75" customHeight="1">
      <c r="B814" s="16" t="s">
        <v>57</v>
      </c>
      <c r="C814" s="16" t="s">
        <v>72</v>
      </c>
      <c r="D814" s="16" t="s">
        <v>866</v>
      </c>
      <c r="E814" s="30">
        <v>80.0</v>
      </c>
      <c r="F814" s="16">
        <v>4.9</v>
      </c>
      <c r="G814" s="16">
        <v>140.0</v>
      </c>
      <c r="H814" s="31" t="s">
        <v>71</v>
      </c>
    </row>
    <row r="815" ht="15.75" customHeight="1">
      <c r="B815" s="16" t="s">
        <v>57</v>
      </c>
      <c r="C815" s="16" t="s">
        <v>72</v>
      </c>
      <c r="D815" s="16" t="s">
        <v>867</v>
      </c>
      <c r="E815" s="30">
        <v>80.0</v>
      </c>
      <c r="F815" s="16">
        <v>4.8</v>
      </c>
      <c r="G815" s="16">
        <v>350.0</v>
      </c>
      <c r="H815" s="31" t="s">
        <v>71</v>
      </c>
    </row>
    <row r="816" ht="15.75" customHeight="1">
      <c r="B816" s="16" t="s">
        <v>57</v>
      </c>
      <c r="C816" s="16" t="s">
        <v>72</v>
      </c>
      <c r="D816" s="16" t="s">
        <v>868</v>
      </c>
      <c r="E816" s="30">
        <v>80.0</v>
      </c>
      <c r="F816" s="16">
        <v>4.9</v>
      </c>
      <c r="G816" s="16">
        <v>200.0</v>
      </c>
      <c r="H816" s="31" t="s">
        <v>71</v>
      </c>
    </row>
    <row r="817" ht="15.75" customHeight="1">
      <c r="B817" s="16" t="s">
        <v>57</v>
      </c>
      <c r="C817" s="16" t="s">
        <v>72</v>
      </c>
      <c r="D817" s="16" t="s">
        <v>869</v>
      </c>
      <c r="E817" s="30">
        <v>80.0</v>
      </c>
      <c r="F817" s="16">
        <v>4.9</v>
      </c>
      <c r="G817" s="16">
        <v>100.0</v>
      </c>
      <c r="H817" s="31" t="s">
        <v>71</v>
      </c>
    </row>
    <row r="818" ht="15.75" customHeight="1">
      <c r="B818" s="16" t="s">
        <v>57</v>
      </c>
      <c r="C818" s="16" t="s">
        <v>72</v>
      </c>
      <c r="D818" s="16" t="s">
        <v>870</v>
      </c>
      <c r="E818" s="30">
        <v>80.0</v>
      </c>
      <c r="F818" s="16">
        <v>5.0</v>
      </c>
      <c r="G818" s="16">
        <v>300.0</v>
      </c>
      <c r="H818" s="31" t="s">
        <v>71</v>
      </c>
    </row>
    <row r="819" ht="15.75" customHeight="1">
      <c r="B819" s="16" t="s">
        <v>57</v>
      </c>
      <c r="C819" s="16" t="s">
        <v>72</v>
      </c>
      <c r="D819" s="16" t="s">
        <v>192</v>
      </c>
      <c r="E819" s="30">
        <v>80.0</v>
      </c>
      <c r="F819" s="16">
        <v>4.9</v>
      </c>
      <c r="G819" s="16">
        <v>1000.0</v>
      </c>
      <c r="H819" s="31" t="s">
        <v>71</v>
      </c>
    </row>
    <row r="820" ht="15.75" customHeight="1">
      <c r="B820" s="16" t="s">
        <v>57</v>
      </c>
      <c r="C820" s="16" t="s">
        <v>72</v>
      </c>
      <c r="D820" s="16" t="s">
        <v>871</v>
      </c>
      <c r="E820" s="30">
        <v>80.0</v>
      </c>
      <c r="F820" s="16">
        <v>0.0</v>
      </c>
      <c r="G820" s="16">
        <v>300.0</v>
      </c>
      <c r="H820" s="31" t="s">
        <v>71</v>
      </c>
    </row>
    <row r="821" ht="15.75" customHeight="1">
      <c r="B821" s="16" t="s">
        <v>57</v>
      </c>
      <c r="C821" s="16" t="s">
        <v>72</v>
      </c>
      <c r="D821" s="16" t="s">
        <v>255</v>
      </c>
      <c r="E821" s="30">
        <v>80.0</v>
      </c>
      <c r="F821" s="16">
        <v>0.0</v>
      </c>
      <c r="G821" s="16">
        <v>300.0</v>
      </c>
      <c r="H821" s="31" t="s">
        <v>71</v>
      </c>
    </row>
    <row r="822" ht="15.75" customHeight="1">
      <c r="B822" s="16" t="s">
        <v>57</v>
      </c>
      <c r="C822" s="16" t="s">
        <v>72</v>
      </c>
      <c r="D822" s="16" t="s">
        <v>872</v>
      </c>
      <c r="E822" s="30">
        <v>82.5</v>
      </c>
      <c r="F822" s="16">
        <v>5.0</v>
      </c>
      <c r="G822" s="16">
        <v>180.0</v>
      </c>
      <c r="H822" s="31" t="s">
        <v>71</v>
      </c>
    </row>
    <row r="823" ht="15.75" customHeight="1">
      <c r="B823" s="16" t="s">
        <v>57</v>
      </c>
      <c r="C823" s="16" t="s">
        <v>72</v>
      </c>
      <c r="D823" s="16" t="s">
        <v>873</v>
      </c>
      <c r="E823" s="30">
        <v>85.0</v>
      </c>
      <c r="F823" s="16">
        <v>5.0</v>
      </c>
      <c r="G823" s="16">
        <v>350.0</v>
      </c>
      <c r="H823" s="31" t="s">
        <v>71</v>
      </c>
    </row>
    <row r="824" ht="15.75" customHeight="1">
      <c r="B824" s="16" t="s">
        <v>57</v>
      </c>
      <c r="C824" s="16" t="s">
        <v>72</v>
      </c>
      <c r="D824" s="16" t="s">
        <v>874</v>
      </c>
      <c r="E824" s="30">
        <v>85.0</v>
      </c>
      <c r="F824" s="16">
        <v>5.0</v>
      </c>
      <c r="G824" s="16">
        <v>400.0</v>
      </c>
      <c r="H824" s="31" t="s">
        <v>71</v>
      </c>
    </row>
    <row r="825" ht="15.75" customHeight="1">
      <c r="B825" s="16" t="s">
        <v>57</v>
      </c>
      <c r="C825" s="16" t="s">
        <v>72</v>
      </c>
      <c r="D825" s="16" t="s">
        <v>256</v>
      </c>
      <c r="E825" s="30">
        <v>85.0</v>
      </c>
      <c r="F825" s="16">
        <v>5.0</v>
      </c>
      <c r="G825" s="16">
        <v>400.0</v>
      </c>
      <c r="H825" s="31" t="s">
        <v>71</v>
      </c>
    </row>
    <row r="826" ht="15.75" customHeight="1">
      <c r="B826" s="16" t="s">
        <v>57</v>
      </c>
      <c r="C826" s="16" t="s">
        <v>72</v>
      </c>
      <c r="D826" s="16" t="s">
        <v>202</v>
      </c>
      <c r="E826" s="30">
        <v>85.0</v>
      </c>
      <c r="F826" s="16">
        <v>4.9</v>
      </c>
      <c r="G826" s="16">
        <v>250.0</v>
      </c>
      <c r="H826" s="31" t="s">
        <v>71</v>
      </c>
    </row>
    <row r="827" ht="15.75" customHeight="1">
      <c r="B827" s="16" t="s">
        <v>57</v>
      </c>
      <c r="C827" s="16" t="s">
        <v>72</v>
      </c>
      <c r="D827" s="16" t="s">
        <v>875</v>
      </c>
      <c r="E827" s="30">
        <v>85.0</v>
      </c>
      <c r="F827" s="16">
        <v>4.9</v>
      </c>
      <c r="G827" s="16">
        <v>350.0</v>
      </c>
      <c r="H827" s="31" t="s">
        <v>71</v>
      </c>
    </row>
    <row r="828" ht="15.75" customHeight="1">
      <c r="B828" s="16" t="s">
        <v>57</v>
      </c>
      <c r="C828" s="16" t="s">
        <v>72</v>
      </c>
      <c r="D828" s="16" t="s">
        <v>876</v>
      </c>
      <c r="E828" s="30">
        <v>85.0</v>
      </c>
      <c r="F828" s="16">
        <v>5.0</v>
      </c>
      <c r="G828" s="16">
        <v>200.0</v>
      </c>
      <c r="H828" s="31" t="s">
        <v>71</v>
      </c>
    </row>
    <row r="829" ht="15.75" customHeight="1">
      <c r="B829" s="16" t="s">
        <v>57</v>
      </c>
      <c r="C829" s="16" t="s">
        <v>72</v>
      </c>
      <c r="D829" s="16" t="s">
        <v>877</v>
      </c>
      <c r="E829" s="30">
        <v>85.0</v>
      </c>
      <c r="F829" s="16">
        <v>5.0</v>
      </c>
      <c r="G829" s="16">
        <v>250.0</v>
      </c>
      <c r="H829" s="31" t="s">
        <v>71</v>
      </c>
    </row>
    <row r="830" ht="15.75" customHeight="1">
      <c r="B830" s="16" t="s">
        <v>57</v>
      </c>
      <c r="C830" s="16" t="s">
        <v>72</v>
      </c>
      <c r="D830" s="16" t="s">
        <v>878</v>
      </c>
      <c r="E830" s="30">
        <v>85.0</v>
      </c>
      <c r="F830" s="16">
        <v>4.9</v>
      </c>
      <c r="G830" s="16">
        <v>250.0</v>
      </c>
      <c r="H830" s="31" t="s">
        <v>71</v>
      </c>
    </row>
    <row r="831" ht="15.75" customHeight="1">
      <c r="B831" s="16" t="s">
        <v>57</v>
      </c>
      <c r="C831" s="16" t="s">
        <v>72</v>
      </c>
      <c r="D831" s="16" t="s">
        <v>879</v>
      </c>
      <c r="E831" s="30">
        <v>85.0</v>
      </c>
      <c r="F831" s="16">
        <v>0.0</v>
      </c>
      <c r="G831" s="16">
        <v>200.0</v>
      </c>
      <c r="H831" s="31" t="s">
        <v>71</v>
      </c>
    </row>
    <row r="832" ht="15.75" customHeight="1">
      <c r="B832" s="16" t="s">
        <v>57</v>
      </c>
      <c r="C832" s="16" t="s">
        <v>72</v>
      </c>
      <c r="D832" s="16" t="s">
        <v>368</v>
      </c>
      <c r="E832" s="30">
        <v>85.0</v>
      </c>
      <c r="F832" s="16">
        <v>0.0</v>
      </c>
      <c r="G832" s="16">
        <v>300.0</v>
      </c>
      <c r="H832" s="31" t="s">
        <v>71</v>
      </c>
    </row>
    <row r="833" ht="15.75" customHeight="1">
      <c r="B833" s="16" t="s">
        <v>57</v>
      </c>
      <c r="C833" s="16" t="s">
        <v>142</v>
      </c>
      <c r="D833" s="16" t="s">
        <v>880</v>
      </c>
      <c r="E833" s="30">
        <v>85.0</v>
      </c>
      <c r="F833" s="16">
        <v>5.0</v>
      </c>
      <c r="G833" s="16">
        <v>120.0</v>
      </c>
      <c r="H833" s="31" t="s">
        <v>71</v>
      </c>
    </row>
    <row r="834" ht="15.75" customHeight="1">
      <c r="B834" s="16" t="s">
        <v>57</v>
      </c>
      <c r="C834" s="16" t="s">
        <v>72</v>
      </c>
      <c r="D834" s="16" t="s">
        <v>881</v>
      </c>
      <c r="E834" s="30">
        <v>87.0</v>
      </c>
      <c r="F834" s="16">
        <v>5.0</v>
      </c>
      <c r="G834" s="16">
        <v>200.0</v>
      </c>
      <c r="H834" s="31" t="s">
        <v>71</v>
      </c>
    </row>
    <row r="835" ht="15.75" customHeight="1">
      <c r="B835" s="16" t="s">
        <v>57</v>
      </c>
      <c r="C835" s="16" t="s">
        <v>72</v>
      </c>
      <c r="D835" s="16" t="s">
        <v>882</v>
      </c>
      <c r="E835" s="30">
        <v>88.0</v>
      </c>
      <c r="F835" s="16">
        <v>5.0</v>
      </c>
      <c r="G835" s="16">
        <v>500.0</v>
      </c>
      <c r="H835" s="31" t="s">
        <v>71</v>
      </c>
    </row>
    <row r="836" ht="15.75" customHeight="1">
      <c r="B836" s="16" t="s">
        <v>57</v>
      </c>
      <c r="C836" s="16" t="s">
        <v>72</v>
      </c>
      <c r="D836" s="16" t="s">
        <v>883</v>
      </c>
      <c r="E836" s="30">
        <v>88.0</v>
      </c>
      <c r="F836" s="16">
        <v>4.8</v>
      </c>
      <c r="G836" s="16">
        <v>120.0</v>
      </c>
      <c r="H836" s="31" t="s">
        <v>71</v>
      </c>
    </row>
    <row r="837" ht="15.75" customHeight="1">
      <c r="B837" s="16" t="s">
        <v>57</v>
      </c>
      <c r="C837" s="16" t="s">
        <v>72</v>
      </c>
      <c r="D837" s="16" t="s">
        <v>208</v>
      </c>
      <c r="E837" s="30">
        <v>89.0</v>
      </c>
      <c r="F837" s="16">
        <v>5.0</v>
      </c>
      <c r="G837" s="16">
        <v>250.0</v>
      </c>
      <c r="H837" s="31" t="s">
        <v>71</v>
      </c>
    </row>
    <row r="838" ht="15.75" customHeight="1">
      <c r="B838" s="16" t="s">
        <v>57</v>
      </c>
      <c r="C838" s="16" t="s">
        <v>72</v>
      </c>
      <c r="D838" s="16" t="s">
        <v>210</v>
      </c>
      <c r="E838" s="30">
        <v>90.0</v>
      </c>
      <c r="F838" s="16">
        <v>5.0</v>
      </c>
      <c r="G838" s="16">
        <v>500.0</v>
      </c>
      <c r="H838" s="31" t="s">
        <v>71</v>
      </c>
    </row>
    <row r="839" ht="15.75" customHeight="1">
      <c r="B839" s="16" t="s">
        <v>57</v>
      </c>
      <c r="C839" s="16" t="s">
        <v>72</v>
      </c>
      <c r="D839" s="16" t="s">
        <v>214</v>
      </c>
      <c r="E839" s="30">
        <v>90.0</v>
      </c>
      <c r="F839" s="16">
        <v>4.9</v>
      </c>
      <c r="G839" s="16">
        <v>300.0</v>
      </c>
      <c r="H839" s="31" t="s">
        <v>71</v>
      </c>
    </row>
    <row r="840" ht="15.75" customHeight="1">
      <c r="B840" s="16" t="s">
        <v>57</v>
      </c>
      <c r="C840" s="16" t="s">
        <v>72</v>
      </c>
      <c r="D840" s="16" t="s">
        <v>884</v>
      </c>
      <c r="E840" s="30">
        <v>90.0</v>
      </c>
      <c r="F840" s="16">
        <v>5.0</v>
      </c>
      <c r="G840" s="16">
        <v>350.0</v>
      </c>
      <c r="H840" s="31" t="s">
        <v>71</v>
      </c>
    </row>
    <row r="841" ht="15.75" customHeight="1">
      <c r="B841" s="16" t="s">
        <v>57</v>
      </c>
      <c r="C841" s="16" t="s">
        <v>72</v>
      </c>
      <c r="D841" s="16" t="s">
        <v>885</v>
      </c>
      <c r="E841" s="30">
        <v>90.0</v>
      </c>
      <c r="F841" s="16">
        <v>4.6</v>
      </c>
      <c r="G841" s="16">
        <v>900.0</v>
      </c>
      <c r="H841" s="31" t="s">
        <v>71</v>
      </c>
    </row>
    <row r="842" ht="15.75" customHeight="1">
      <c r="B842" s="16" t="s">
        <v>57</v>
      </c>
      <c r="C842" s="16" t="s">
        <v>72</v>
      </c>
      <c r="D842" s="16" t="s">
        <v>886</v>
      </c>
      <c r="E842" s="30">
        <v>90.0</v>
      </c>
      <c r="F842" s="16">
        <v>4.8</v>
      </c>
      <c r="G842" s="16">
        <v>300.0</v>
      </c>
      <c r="H842" s="31" t="s">
        <v>71</v>
      </c>
    </row>
    <row r="843" ht="15.75" customHeight="1">
      <c r="B843" s="16" t="s">
        <v>57</v>
      </c>
      <c r="C843" s="16" t="s">
        <v>72</v>
      </c>
      <c r="D843" s="16" t="s">
        <v>887</v>
      </c>
      <c r="E843" s="30">
        <v>90.0</v>
      </c>
      <c r="F843" s="16">
        <v>5.0</v>
      </c>
      <c r="G843" s="16">
        <v>400.0</v>
      </c>
      <c r="H843" s="31" t="s">
        <v>71</v>
      </c>
    </row>
    <row r="844" ht="15.75" customHeight="1">
      <c r="B844" s="16" t="s">
        <v>57</v>
      </c>
      <c r="C844" s="16" t="s">
        <v>72</v>
      </c>
      <c r="D844" s="16" t="s">
        <v>624</v>
      </c>
      <c r="E844" s="30">
        <v>90.0</v>
      </c>
      <c r="F844" s="16">
        <v>0.0</v>
      </c>
      <c r="G844" s="16">
        <v>250.0</v>
      </c>
      <c r="H844" s="31" t="s">
        <v>71</v>
      </c>
    </row>
    <row r="845" ht="15.75" customHeight="1">
      <c r="B845" s="16" t="s">
        <v>57</v>
      </c>
      <c r="C845" s="16" t="s">
        <v>72</v>
      </c>
      <c r="D845" s="16" t="s">
        <v>888</v>
      </c>
      <c r="E845" s="30">
        <v>90.0</v>
      </c>
      <c r="F845" s="16">
        <v>0.0</v>
      </c>
      <c r="G845" s="16">
        <v>200.0</v>
      </c>
      <c r="H845" s="31" t="s">
        <v>71</v>
      </c>
    </row>
    <row r="846" ht="15.75" customHeight="1">
      <c r="B846" s="16" t="s">
        <v>57</v>
      </c>
      <c r="C846" s="16" t="s">
        <v>77</v>
      </c>
      <c r="D846" s="16" t="s">
        <v>889</v>
      </c>
      <c r="E846" s="30">
        <v>90.0</v>
      </c>
      <c r="F846" s="16">
        <v>0.0</v>
      </c>
      <c r="G846" s="16">
        <v>300.0</v>
      </c>
      <c r="H846" s="31" t="s">
        <v>71</v>
      </c>
    </row>
    <row r="847" ht="15.75" customHeight="1">
      <c r="B847" s="16" t="s">
        <v>57</v>
      </c>
      <c r="C847" s="16" t="s">
        <v>142</v>
      </c>
      <c r="D847" s="16" t="s">
        <v>890</v>
      </c>
      <c r="E847" s="30">
        <v>90.0</v>
      </c>
      <c r="F847" s="16">
        <v>3.0</v>
      </c>
      <c r="G847" s="16">
        <v>150.0</v>
      </c>
      <c r="H847" s="31" t="s">
        <v>71</v>
      </c>
    </row>
    <row r="848" ht="15.75" customHeight="1">
      <c r="B848" s="16" t="s">
        <v>57</v>
      </c>
      <c r="C848" s="16" t="s">
        <v>72</v>
      </c>
      <c r="D848" s="16" t="s">
        <v>219</v>
      </c>
      <c r="E848" s="30">
        <v>95.0</v>
      </c>
      <c r="F848" s="16">
        <v>5.0</v>
      </c>
      <c r="G848" s="16">
        <v>300.0</v>
      </c>
      <c r="H848" s="31" t="s">
        <v>71</v>
      </c>
    </row>
    <row r="849" ht="15.75" customHeight="1">
      <c r="B849" s="16" t="s">
        <v>57</v>
      </c>
      <c r="C849" s="16" t="s">
        <v>72</v>
      </c>
      <c r="D849" s="16" t="s">
        <v>891</v>
      </c>
      <c r="E849" s="30">
        <v>95.0</v>
      </c>
      <c r="F849" s="16">
        <v>5.0</v>
      </c>
      <c r="G849" s="16">
        <v>220.0</v>
      </c>
      <c r="H849" s="31" t="s">
        <v>71</v>
      </c>
    </row>
    <row r="850" ht="15.75" customHeight="1">
      <c r="B850" s="16" t="s">
        <v>57</v>
      </c>
      <c r="C850" s="16" t="s">
        <v>72</v>
      </c>
      <c r="D850" s="16" t="s">
        <v>892</v>
      </c>
      <c r="E850" s="30">
        <v>95.0</v>
      </c>
      <c r="F850" s="16">
        <v>5.0</v>
      </c>
      <c r="G850" s="16">
        <v>500.0</v>
      </c>
      <c r="H850" s="31" t="s">
        <v>71</v>
      </c>
    </row>
    <row r="851" ht="15.75" customHeight="1">
      <c r="B851" s="16" t="s">
        <v>57</v>
      </c>
      <c r="C851" s="16" t="s">
        <v>72</v>
      </c>
      <c r="D851" s="16" t="s">
        <v>893</v>
      </c>
      <c r="E851" s="30">
        <v>95.0</v>
      </c>
      <c r="F851" s="16">
        <v>4.9</v>
      </c>
      <c r="G851" s="16">
        <v>250.0</v>
      </c>
      <c r="H851" s="31" t="s">
        <v>71</v>
      </c>
    </row>
    <row r="852" ht="15.75" customHeight="1">
      <c r="B852" s="16" t="s">
        <v>57</v>
      </c>
      <c r="C852" s="16" t="s">
        <v>72</v>
      </c>
      <c r="D852" s="16" t="s">
        <v>218</v>
      </c>
      <c r="E852" s="30">
        <v>95.0</v>
      </c>
      <c r="F852" s="16">
        <v>4.9</v>
      </c>
      <c r="G852" s="16">
        <v>220.0</v>
      </c>
      <c r="H852" s="31" t="s">
        <v>71</v>
      </c>
    </row>
    <row r="853" ht="15.75" customHeight="1">
      <c r="B853" s="16" t="s">
        <v>57</v>
      </c>
      <c r="C853" s="16" t="s">
        <v>72</v>
      </c>
      <c r="D853" s="16" t="s">
        <v>894</v>
      </c>
      <c r="E853" s="30">
        <v>95.0</v>
      </c>
      <c r="F853" s="16">
        <v>0.0</v>
      </c>
      <c r="G853" s="16">
        <v>400.0</v>
      </c>
      <c r="H853" s="31" t="s">
        <v>71</v>
      </c>
    </row>
    <row r="854" ht="15.75" customHeight="1">
      <c r="B854" s="16" t="s">
        <v>57</v>
      </c>
      <c r="C854" s="16" t="s">
        <v>72</v>
      </c>
      <c r="D854" s="16" t="s">
        <v>895</v>
      </c>
      <c r="E854" s="30">
        <v>100.0</v>
      </c>
      <c r="F854" s="16">
        <v>5.0</v>
      </c>
      <c r="G854" s="16">
        <v>250.0</v>
      </c>
      <c r="H854" s="31" t="s">
        <v>71</v>
      </c>
    </row>
    <row r="855" ht="15.75" customHeight="1">
      <c r="B855" s="16" t="s">
        <v>57</v>
      </c>
      <c r="C855" s="16" t="s">
        <v>72</v>
      </c>
      <c r="D855" s="16" t="s">
        <v>128</v>
      </c>
      <c r="E855" s="30">
        <v>100.0</v>
      </c>
      <c r="F855" s="16">
        <v>4.9</v>
      </c>
      <c r="G855" s="16">
        <v>350.0</v>
      </c>
      <c r="H855" s="31" t="s">
        <v>71</v>
      </c>
    </row>
    <row r="856" ht="15.75" customHeight="1">
      <c r="B856" s="16" t="s">
        <v>57</v>
      </c>
      <c r="C856" s="16" t="s">
        <v>72</v>
      </c>
      <c r="D856" s="16" t="s">
        <v>896</v>
      </c>
      <c r="E856" s="30">
        <v>100.0</v>
      </c>
      <c r="F856" s="16">
        <v>5.0</v>
      </c>
      <c r="G856" s="16">
        <v>250.0</v>
      </c>
      <c r="H856" s="31" t="s">
        <v>71</v>
      </c>
    </row>
    <row r="857" ht="15.75" customHeight="1">
      <c r="B857" s="16" t="s">
        <v>57</v>
      </c>
      <c r="C857" s="16" t="s">
        <v>72</v>
      </c>
      <c r="D857" s="16" t="s">
        <v>225</v>
      </c>
      <c r="E857" s="30">
        <v>100.0</v>
      </c>
      <c r="F857" s="16">
        <v>5.0</v>
      </c>
      <c r="G857" s="16">
        <v>430.0</v>
      </c>
      <c r="H857" s="31" t="s">
        <v>71</v>
      </c>
    </row>
    <row r="858" ht="15.75" customHeight="1">
      <c r="B858" s="16" t="s">
        <v>57</v>
      </c>
      <c r="C858" s="16" t="s">
        <v>72</v>
      </c>
      <c r="D858" s="16" t="s">
        <v>897</v>
      </c>
      <c r="E858" s="30">
        <v>100.0</v>
      </c>
      <c r="F858" s="16">
        <v>4.9</v>
      </c>
      <c r="G858" s="16">
        <v>350.0</v>
      </c>
      <c r="H858" s="31" t="s">
        <v>71</v>
      </c>
    </row>
    <row r="859" ht="15.75" customHeight="1">
      <c r="B859" s="16" t="s">
        <v>57</v>
      </c>
      <c r="C859" s="16" t="s">
        <v>72</v>
      </c>
      <c r="D859" s="16" t="s">
        <v>129</v>
      </c>
      <c r="E859" s="30">
        <v>100.0</v>
      </c>
      <c r="F859" s="16">
        <v>5.0</v>
      </c>
      <c r="G859" s="16">
        <v>250.0</v>
      </c>
      <c r="H859" s="31" t="s">
        <v>71</v>
      </c>
    </row>
    <row r="860" ht="15.75" customHeight="1">
      <c r="B860" s="16" t="s">
        <v>57</v>
      </c>
      <c r="C860" s="16" t="s">
        <v>72</v>
      </c>
      <c r="D860" s="16" t="s">
        <v>898</v>
      </c>
      <c r="E860" s="30">
        <v>100.0</v>
      </c>
      <c r="F860" s="16">
        <v>5.0</v>
      </c>
      <c r="G860" s="16">
        <v>300.0</v>
      </c>
      <c r="H860" s="31" t="s">
        <v>71</v>
      </c>
    </row>
    <row r="861" ht="15.75" customHeight="1">
      <c r="B861" s="16" t="s">
        <v>57</v>
      </c>
      <c r="C861" s="16" t="s">
        <v>72</v>
      </c>
      <c r="D861" s="16" t="s">
        <v>899</v>
      </c>
      <c r="E861" s="30">
        <v>100.0</v>
      </c>
      <c r="F861" s="16">
        <v>0.0</v>
      </c>
      <c r="G861" s="16">
        <v>130.0</v>
      </c>
      <c r="H861" s="31" t="s">
        <v>71</v>
      </c>
    </row>
    <row r="862" ht="15.75" customHeight="1">
      <c r="B862" s="16" t="s">
        <v>57</v>
      </c>
      <c r="C862" s="16" t="s">
        <v>142</v>
      </c>
      <c r="D862" s="16" t="s">
        <v>900</v>
      </c>
      <c r="E862" s="30">
        <v>100.0</v>
      </c>
      <c r="F862" s="16">
        <v>4.9</v>
      </c>
      <c r="G862" s="16">
        <v>100.0</v>
      </c>
      <c r="H862" s="31" t="s">
        <v>71</v>
      </c>
    </row>
    <row r="863" ht="15.75" customHeight="1">
      <c r="B863" s="16" t="s">
        <v>57</v>
      </c>
      <c r="C863" s="16" t="s">
        <v>72</v>
      </c>
      <c r="D863" s="16" t="s">
        <v>901</v>
      </c>
      <c r="E863" s="30">
        <v>105.0</v>
      </c>
      <c r="F863" s="16">
        <v>4.9</v>
      </c>
      <c r="G863" s="16">
        <v>300.0</v>
      </c>
      <c r="H863" s="31" t="s">
        <v>71</v>
      </c>
    </row>
    <row r="864" ht="15.75" customHeight="1">
      <c r="B864" s="16" t="s">
        <v>57</v>
      </c>
      <c r="C864" s="16" t="s">
        <v>72</v>
      </c>
      <c r="D864" s="16" t="s">
        <v>902</v>
      </c>
      <c r="E864" s="30">
        <v>110.0</v>
      </c>
      <c r="F864" s="16">
        <v>0.0</v>
      </c>
      <c r="G864" s="16">
        <v>80.0</v>
      </c>
      <c r="H864" s="31" t="s">
        <v>71</v>
      </c>
    </row>
    <row r="865" ht="15.75" customHeight="1">
      <c r="B865" s="16" t="s">
        <v>57</v>
      </c>
      <c r="C865" s="16" t="s">
        <v>72</v>
      </c>
      <c r="D865" s="16" t="s">
        <v>903</v>
      </c>
      <c r="E865" s="30">
        <v>112.0</v>
      </c>
      <c r="F865" s="16">
        <v>4.8</v>
      </c>
      <c r="G865" s="16">
        <v>110.0</v>
      </c>
      <c r="H865" s="31" t="s">
        <v>71</v>
      </c>
    </row>
    <row r="866" ht="15.75" customHeight="1">
      <c r="B866" s="16" t="s">
        <v>57</v>
      </c>
      <c r="C866" s="16" t="s">
        <v>72</v>
      </c>
      <c r="D866" s="16" t="s">
        <v>904</v>
      </c>
      <c r="E866" s="30">
        <v>115.0</v>
      </c>
      <c r="F866" s="16">
        <v>4.9</v>
      </c>
      <c r="G866" s="16">
        <v>240.0</v>
      </c>
      <c r="H866" s="31" t="s">
        <v>71</v>
      </c>
    </row>
    <row r="867" ht="15.75" customHeight="1">
      <c r="B867" s="16" t="s">
        <v>57</v>
      </c>
      <c r="C867" s="16" t="s">
        <v>72</v>
      </c>
      <c r="D867" s="16" t="s">
        <v>905</v>
      </c>
      <c r="E867" s="30">
        <v>120.0</v>
      </c>
      <c r="F867" s="16">
        <v>4.9</v>
      </c>
      <c r="G867" s="16">
        <v>230.0</v>
      </c>
      <c r="H867" s="31" t="s">
        <v>71</v>
      </c>
    </row>
    <row r="868" ht="15.75" customHeight="1">
      <c r="B868" s="16" t="s">
        <v>57</v>
      </c>
      <c r="C868" s="16" t="s">
        <v>72</v>
      </c>
      <c r="D868" s="16" t="s">
        <v>906</v>
      </c>
      <c r="E868" s="30">
        <v>120.0</v>
      </c>
      <c r="F868" s="16">
        <v>5.0</v>
      </c>
      <c r="G868" s="16">
        <v>250.0</v>
      </c>
      <c r="H868" s="31" t="s">
        <v>71</v>
      </c>
    </row>
    <row r="869" ht="15.75" customHeight="1">
      <c r="B869" s="16" t="s">
        <v>57</v>
      </c>
      <c r="C869" s="16" t="s">
        <v>72</v>
      </c>
      <c r="D869" s="16" t="s">
        <v>907</v>
      </c>
      <c r="E869" s="30">
        <v>120.0</v>
      </c>
      <c r="F869" s="16">
        <v>5.0</v>
      </c>
      <c r="G869" s="16">
        <v>160.0</v>
      </c>
      <c r="H869" s="31" t="s">
        <v>71</v>
      </c>
    </row>
    <row r="870" ht="15.75" customHeight="1">
      <c r="B870" s="16" t="s">
        <v>57</v>
      </c>
      <c r="C870" s="16" t="s">
        <v>72</v>
      </c>
      <c r="D870" s="16" t="s">
        <v>908</v>
      </c>
      <c r="E870" s="30">
        <v>120.0</v>
      </c>
      <c r="F870" s="16">
        <v>4.8</v>
      </c>
      <c r="G870" s="16">
        <v>200.0</v>
      </c>
      <c r="H870" s="31" t="s">
        <v>71</v>
      </c>
    </row>
    <row r="871" ht="15.75" customHeight="1">
      <c r="B871" s="16" t="s">
        <v>57</v>
      </c>
      <c r="C871" s="16" t="s">
        <v>77</v>
      </c>
      <c r="D871" s="16" t="s">
        <v>909</v>
      </c>
      <c r="E871" s="30">
        <v>120.0</v>
      </c>
      <c r="F871" s="16">
        <v>0.0</v>
      </c>
      <c r="G871" s="16">
        <v>60.0</v>
      </c>
      <c r="H871" s="31" t="s">
        <v>71</v>
      </c>
    </row>
    <row r="872" ht="15.75" customHeight="1">
      <c r="B872" s="16" t="s">
        <v>57</v>
      </c>
      <c r="C872" s="16" t="s">
        <v>77</v>
      </c>
      <c r="D872" s="16" t="s">
        <v>910</v>
      </c>
      <c r="E872" s="30">
        <v>120.0</v>
      </c>
      <c r="F872" s="16">
        <v>0.0</v>
      </c>
      <c r="G872" s="16">
        <v>400.0</v>
      </c>
      <c r="H872" s="31" t="s">
        <v>71</v>
      </c>
    </row>
    <row r="873" ht="15.75" customHeight="1">
      <c r="B873" s="16" t="s">
        <v>57</v>
      </c>
      <c r="C873" s="16" t="s">
        <v>77</v>
      </c>
      <c r="D873" s="16" t="s">
        <v>911</v>
      </c>
      <c r="E873" s="30">
        <v>120.0</v>
      </c>
      <c r="F873" s="16">
        <v>0.0</v>
      </c>
      <c r="G873" s="16">
        <v>100.0</v>
      </c>
      <c r="H873" s="31" t="s">
        <v>71</v>
      </c>
    </row>
    <row r="874" ht="15.75" customHeight="1">
      <c r="B874" s="16" t="s">
        <v>57</v>
      </c>
      <c r="C874" s="16" t="s">
        <v>72</v>
      </c>
      <c r="D874" s="16" t="s">
        <v>912</v>
      </c>
      <c r="E874" s="30">
        <v>125.0</v>
      </c>
      <c r="F874" s="16">
        <v>4.7</v>
      </c>
      <c r="G874" s="16">
        <v>180.0</v>
      </c>
      <c r="H874" s="31" t="s">
        <v>71</v>
      </c>
    </row>
    <row r="875" ht="15.75" customHeight="1">
      <c r="B875" s="16" t="s">
        <v>57</v>
      </c>
      <c r="C875" s="16" t="s">
        <v>72</v>
      </c>
      <c r="D875" s="16" t="s">
        <v>234</v>
      </c>
      <c r="E875" s="30">
        <v>125.0</v>
      </c>
      <c r="F875" s="16">
        <v>5.0</v>
      </c>
      <c r="G875" s="16">
        <v>450.0</v>
      </c>
      <c r="H875" s="31" t="s">
        <v>71</v>
      </c>
    </row>
    <row r="876" ht="15.75" customHeight="1">
      <c r="B876" s="16" t="s">
        <v>57</v>
      </c>
      <c r="C876" s="16" t="s">
        <v>72</v>
      </c>
      <c r="D876" s="16" t="s">
        <v>913</v>
      </c>
      <c r="E876" s="30">
        <v>130.0</v>
      </c>
      <c r="F876" s="16">
        <v>4.9</v>
      </c>
      <c r="G876" s="16">
        <v>300.0</v>
      </c>
      <c r="H876" s="31" t="s">
        <v>71</v>
      </c>
    </row>
    <row r="877" ht="15.75" customHeight="1">
      <c r="B877" s="16" t="s">
        <v>57</v>
      </c>
      <c r="C877" s="16" t="s">
        <v>72</v>
      </c>
      <c r="D877" s="16" t="s">
        <v>135</v>
      </c>
      <c r="E877" s="30">
        <v>130.0</v>
      </c>
      <c r="F877" s="16">
        <v>4.9</v>
      </c>
      <c r="G877" s="16">
        <v>200.0</v>
      </c>
      <c r="H877" s="31" t="s">
        <v>71</v>
      </c>
    </row>
    <row r="878" ht="15.75" customHeight="1">
      <c r="B878" s="16" t="s">
        <v>57</v>
      </c>
      <c r="C878" s="16" t="s">
        <v>72</v>
      </c>
      <c r="D878" s="16" t="s">
        <v>914</v>
      </c>
      <c r="E878" s="30">
        <v>135.0</v>
      </c>
      <c r="F878" s="16">
        <v>5.0</v>
      </c>
      <c r="G878" s="16">
        <v>300.0</v>
      </c>
      <c r="H878" s="31" t="s">
        <v>71</v>
      </c>
    </row>
    <row r="879" ht="15.75" customHeight="1">
      <c r="B879" s="16" t="s">
        <v>57</v>
      </c>
      <c r="C879" s="16" t="s">
        <v>72</v>
      </c>
      <c r="D879" s="16" t="s">
        <v>915</v>
      </c>
      <c r="E879" s="30">
        <v>140.0</v>
      </c>
      <c r="F879" s="16">
        <v>0.0</v>
      </c>
      <c r="G879" s="16">
        <v>100.0</v>
      </c>
      <c r="H879" s="31" t="s">
        <v>71</v>
      </c>
    </row>
    <row r="880" ht="15.75" customHeight="1">
      <c r="B880" s="16" t="s">
        <v>57</v>
      </c>
      <c r="C880" s="16" t="s">
        <v>72</v>
      </c>
      <c r="D880" s="16" t="s">
        <v>916</v>
      </c>
      <c r="E880" s="30">
        <v>140.0</v>
      </c>
      <c r="F880" s="16">
        <v>4.5</v>
      </c>
      <c r="G880" s="16">
        <v>400.0</v>
      </c>
      <c r="H880" s="31" t="s">
        <v>71</v>
      </c>
    </row>
    <row r="881" ht="15.75" customHeight="1">
      <c r="B881" s="16" t="s">
        <v>57</v>
      </c>
      <c r="C881" s="16" t="s">
        <v>72</v>
      </c>
      <c r="D881" s="16" t="s">
        <v>917</v>
      </c>
      <c r="E881" s="30">
        <v>140.0</v>
      </c>
      <c r="F881" s="16">
        <v>3.9</v>
      </c>
      <c r="G881" s="16">
        <v>400.0</v>
      </c>
      <c r="H881" s="31" t="s">
        <v>71</v>
      </c>
    </row>
    <row r="882" ht="15.75" customHeight="1">
      <c r="B882" s="16" t="s">
        <v>57</v>
      </c>
      <c r="C882" s="16" t="s">
        <v>72</v>
      </c>
      <c r="D882" s="16" t="s">
        <v>918</v>
      </c>
      <c r="E882" s="30">
        <v>150.0</v>
      </c>
      <c r="F882" s="16">
        <v>4.8</v>
      </c>
      <c r="G882" s="16">
        <v>350.0</v>
      </c>
      <c r="H882" s="31" t="s">
        <v>71</v>
      </c>
    </row>
    <row r="883" ht="15.75" customHeight="1">
      <c r="B883" s="16" t="s">
        <v>57</v>
      </c>
      <c r="C883" s="16" t="s">
        <v>77</v>
      </c>
      <c r="D883" s="16" t="s">
        <v>919</v>
      </c>
      <c r="E883" s="30">
        <v>150.0</v>
      </c>
      <c r="F883" s="16">
        <v>0.0</v>
      </c>
      <c r="G883" s="16">
        <v>280.0</v>
      </c>
      <c r="H883" s="31" t="s">
        <v>71</v>
      </c>
    </row>
    <row r="884" ht="15.75" customHeight="1">
      <c r="B884" s="16" t="s">
        <v>57</v>
      </c>
      <c r="C884" s="16" t="s">
        <v>72</v>
      </c>
      <c r="D884" s="16" t="s">
        <v>920</v>
      </c>
      <c r="E884" s="30">
        <v>160.0</v>
      </c>
      <c r="F884" s="16">
        <v>0.0</v>
      </c>
      <c r="G884" s="16">
        <v>300.0</v>
      </c>
      <c r="H884" s="31" t="s">
        <v>71</v>
      </c>
    </row>
    <row r="885" ht="15.75" customHeight="1">
      <c r="B885" s="16" t="s">
        <v>57</v>
      </c>
      <c r="C885" s="16" t="s">
        <v>72</v>
      </c>
      <c r="D885" s="16" t="s">
        <v>921</v>
      </c>
      <c r="E885" s="30">
        <v>185.0</v>
      </c>
      <c r="F885" s="16">
        <v>0.0</v>
      </c>
      <c r="G885" s="16">
        <v>2000.0</v>
      </c>
      <c r="H885" s="31" t="s">
        <v>71</v>
      </c>
    </row>
    <row r="886" ht="15.75" customHeight="1">
      <c r="B886" s="16" t="s">
        <v>57</v>
      </c>
      <c r="C886" s="16" t="s">
        <v>142</v>
      </c>
      <c r="D886" s="16" t="s">
        <v>922</v>
      </c>
      <c r="E886" s="30">
        <v>200.0</v>
      </c>
      <c r="F886" s="16">
        <v>5.0</v>
      </c>
      <c r="G886" s="16">
        <v>140.0</v>
      </c>
      <c r="H886" s="31" t="s">
        <v>71</v>
      </c>
    </row>
    <row r="887" ht="15.75" customHeight="1">
      <c r="B887" s="16" t="s">
        <v>58</v>
      </c>
      <c r="C887" s="16" t="s">
        <v>72</v>
      </c>
      <c r="D887" s="16" t="s">
        <v>923</v>
      </c>
      <c r="E887" s="30">
        <v>8.0</v>
      </c>
      <c r="F887" s="16">
        <v>5.0</v>
      </c>
      <c r="G887" s="16">
        <v>80.0</v>
      </c>
      <c r="H887" s="31" t="s">
        <v>71</v>
      </c>
    </row>
    <row r="888" ht="15.75" customHeight="1">
      <c r="B888" s="16" t="s">
        <v>58</v>
      </c>
      <c r="C888" s="16" t="s">
        <v>142</v>
      </c>
      <c r="D888" s="16" t="s">
        <v>924</v>
      </c>
      <c r="E888" s="30">
        <v>13.0</v>
      </c>
      <c r="F888" s="16">
        <v>0.0</v>
      </c>
      <c r="G888" s="16">
        <v>1000.0</v>
      </c>
      <c r="H888" s="31" t="s">
        <v>71</v>
      </c>
    </row>
    <row r="889" ht="15.75" customHeight="1">
      <c r="B889" s="16" t="s">
        <v>58</v>
      </c>
      <c r="C889" s="16" t="s">
        <v>72</v>
      </c>
      <c r="D889" s="16" t="s">
        <v>167</v>
      </c>
      <c r="E889" s="30">
        <v>25.0</v>
      </c>
      <c r="F889" s="16">
        <v>0.0</v>
      </c>
      <c r="G889" s="16">
        <v>500.0</v>
      </c>
      <c r="H889" s="31" t="s">
        <v>71</v>
      </c>
    </row>
    <row r="890" ht="15.75" customHeight="1">
      <c r="B890" s="16" t="s">
        <v>58</v>
      </c>
      <c r="C890" s="16" t="s">
        <v>142</v>
      </c>
      <c r="D890" s="16" t="s">
        <v>925</v>
      </c>
      <c r="E890" s="30">
        <v>27.0</v>
      </c>
      <c r="F890" s="16">
        <v>4.9</v>
      </c>
      <c r="G890" s="16">
        <v>100.0</v>
      </c>
      <c r="H890" s="31" t="s">
        <v>71</v>
      </c>
    </row>
    <row r="891" ht="15.75" customHeight="1">
      <c r="B891" s="16" t="s">
        <v>58</v>
      </c>
      <c r="C891" s="16" t="s">
        <v>142</v>
      </c>
      <c r="D891" s="16" t="s">
        <v>926</v>
      </c>
      <c r="E891" s="30">
        <v>35.0</v>
      </c>
      <c r="F891" s="16">
        <v>5.0</v>
      </c>
      <c r="G891" s="16">
        <v>160.0</v>
      </c>
      <c r="H891" s="31" t="s">
        <v>71</v>
      </c>
    </row>
    <row r="892" ht="15.75" customHeight="1">
      <c r="B892" s="16" t="s">
        <v>58</v>
      </c>
      <c r="C892" s="16" t="s">
        <v>142</v>
      </c>
      <c r="D892" s="16" t="s">
        <v>927</v>
      </c>
      <c r="E892" s="30">
        <v>35.0</v>
      </c>
      <c r="F892" s="16">
        <v>5.0</v>
      </c>
      <c r="G892" s="16">
        <v>96.0</v>
      </c>
      <c r="H892" s="31" t="s">
        <v>71</v>
      </c>
    </row>
    <row r="893" ht="15.75" customHeight="1">
      <c r="B893" s="16" t="s">
        <v>58</v>
      </c>
      <c r="C893" s="16" t="s">
        <v>142</v>
      </c>
      <c r="D893" s="16" t="s">
        <v>928</v>
      </c>
      <c r="E893" s="30">
        <v>35.0</v>
      </c>
      <c r="F893" s="16">
        <v>5.0</v>
      </c>
      <c r="G893" s="16">
        <v>110.0</v>
      </c>
      <c r="H893" s="31" t="s">
        <v>71</v>
      </c>
    </row>
    <row r="894" ht="15.75" customHeight="1">
      <c r="B894" s="16" t="s">
        <v>58</v>
      </c>
      <c r="C894" s="16" t="s">
        <v>72</v>
      </c>
      <c r="D894" s="16" t="s">
        <v>929</v>
      </c>
      <c r="E894" s="30">
        <v>37.0</v>
      </c>
      <c r="F894" s="16">
        <v>0.0</v>
      </c>
      <c r="G894" s="16">
        <v>300.0</v>
      </c>
      <c r="H894" s="31" t="s">
        <v>71</v>
      </c>
    </row>
    <row r="895" ht="15.75" customHeight="1">
      <c r="B895" s="16" t="s">
        <v>58</v>
      </c>
      <c r="C895" s="16" t="s">
        <v>72</v>
      </c>
      <c r="D895" s="16" t="s">
        <v>930</v>
      </c>
      <c r="E895" s="30">
        <v>42.5</v>
      </c>
      <c r="F895" s="16">
        <v>4.9</v>
      </c>
      <c r="G895" s="16">
        <v>200.0</v>
      </c>
      <c r="H895" s="31" t="s">
        <v>71</v>
      </c>
    </row>
    <row r="896" ht="15.75" customHeight="1">
      <c r="B896" s="16" t="s">
        <v>58</v>
      </c>
      <c r="C896" s="16" t="s">
        <v>72</v>
      </c>
      <c r="D896" s="16" t="s">
        <v>931</v>
      </c>
      <c r="E896" s="30">
        <v>45.0</v>
      </c>
      <c r="F896" s="16">
        <v>0.0</v>
      </c>
      <c r="G896" s="16">
        <v>200.0</v>
      </c>
      <c r="H896" s="31" t="s">
        <v>71</v>
      </c>
    </row>
    <row r="897" ht="15.75" customHeight="1">
      <c r="B897" s="16" t="s">
        <v>58</v>
      </c>
      <c r="C897" s="16" t="s">
        <v>72</v>
      </c>
      <c r="D897" s="16" t="s">
        <v>932</v>
      </c>
      <c r="E897" s="30">
        <v>45.0</v>
      </c>
      <c r="F897" s="16">
        <v>0.0</v>
      </c>
      <c r="G897" s="16">
        <v>150.0</v>
      </c>
      <c r="H897" s="31" t="s">
        <v>71</v>
      </c>
    </row>
    <row r="898" ht="15.75" customHeight="1">
      <c r="B898" s="16" t="s">
        <v>58</v>
      </c>
      <c r="C898" s="16" t="s">
        <v>72</v>
      </c>
      <c r="D898" s="16" t="s">
        <v>933</v>
      </c>
      <c r="E898" s="30">
        <v>50.0</v>
      </c>
      <c r="F898" s="16">
        <v>4.8</v>
      </c>
      <c r="G898" s="16">
        <v>130.0</v>
      </c>
      <c r="H898" s="31" t="s">
        <v>71</v>
      </c>
    </row>
    <row r="899" ht="15.75" customHeight="1">
      <c r="B899" s="16" t="s">
        <v>58</v>
      </c>
      <c r="C899" s="16" t="s">
        <v>72</v>
      </c>
      <c r="D899" s="16" t="s">
        <v>473</v>
      </c>
      <c r="E899" s="30">
        <v>50.0</v>
      </c>
      <c r="F899" s="16">
        <v>4.9</v>
      </c>
      <c r="G899" s="16">
        <v>850.0</v>
      </c>
      <c r="H899" s="31" t="s">
        <v>71</v>
      </c>
    </row>
    <row r="900" ht="15.75" customHeight="1">
      <c r="B900" s="16" t="s">
        <v>58</v>
      </c>
      <c r="C900" s="16" t="s">
        <v>72</v>
      </c>
      <c r="D900" s="16" t="s">
        <v>934</v>
      </c>
      <c r="E900" s="30">
        <v>50.0</v>
      </c>
      <c r="F900" s="16">
        <v>3.6</v>
      </c>
      <c r="G900" s="16">
        <v>120.0</v>
      </c>
      <c r="H900" s="31" t="s">
        <v>71</v>
      </c>
    </row>
    <row r="901" ht="15.75" customHeight="1">
      <c r="B901" s="16" t="s">
        <v>58</v>
      </c>
      <c r="C901" s="16" t="s">
        <v>142</v>
      </c>
      <c r="D901" s="16" t="s">
        <v>935</v>
      </c>
      <c r="E901" s="30">
        <v>50.0</v>
      </c>
      <c r="F901" s="16">
        <v>0.0</v>
      </c>
      <c r="G901" s="16">
        <v>500.0</v>
      </c>
      <c r="H901" s="31" t="s">
        <v>71</v>
      </c>
    </row>
    <row r="902" ht="15.75" customHeight="1">
      <c r="B902" s="16" t="s">
        <v>58</v>
      </c>
      <c r="C902" s="16" t="s">
        <v>72</v>
      </c>
      <c r="D902" s="16" t="s">
        <v>580</v>
      </c>
      <c r="E902" s="30">
        <v>55.0</v>
      </c>
      <c r="F902" s="16">
        <v>4.9</v>
      </c>
      <c r="G902" s="16">
        <v>180.0</v>
      </c>
      <c r="H902" s="31" t="s">
        <v>71</v>
      </c>
    </row>
    <row r="903" ht="15.75" customHeight="1">
      <c r="B903" s="16" t="s">
        <v>58</v>
      </c>
      <c r="C903" s="16" t="s">
        <v>72</v>
      </c>
      <c r="D903" s="16" t="s">
        <v>936</v>
      </c>
      <c r="E903" s="30">
        <v>55.0</v>
      </c>
      <c r="F903" s="16">
        <v>4.9</v>
      </c>
      <c r="G903" s="16">
        <v>350.0</v>
      </c>
      <c r="H903" s="31" t="s">
        <v>71</v>
      </c>
    </row>
    <row r="904" ht="15.75" customHeight="1">
      <c r="B904" s="16" t="s">
        <v>58</v>
      </c>
      <c r="C904" s="16" t="s">
        <v>142</v>
      </c>
      <c r="D904" s="16" t="s">
        <v>937</v>
      </c>
      <c r="E904" s="30">
        <v>55.0</v>
      </c>
      <c r="F904" s="16">
        <v>0.0</v>
      </c>
      <c r="G904" s="16">
        <v>150.0</v>
      </c>
      <c r="H904" s="31" t="s">
        <v>71</v>
      </c>
    </row>
    <row r="905" ht="15.75" customHeight="1">
      <c r="B905" s="16" t="s">
        <v>58</v>
      </c>
      <c r="C905" s="16" t="s">
        <v>142</v>
      </c>
      <c r="D905" s="16" t="s">
        <v>938</v>
      </c>
      <c r="E905" s="30">
        <v>55.0</v>
      </c>
      <c r="F905" s="16">
        <v>0.0</v>
      </c>
      <c r="G905" s="16">
        <v>90.0</v>
      </c>
      <c r="H905" s="31" t="s">
        <v>71</v>
      </c>
    </row>
    <row r="906" ht="15.75" customHeight="1">
      <c r="B906" s="16" t="s">
        <v>58</v>
      </c>
      <c r="C906" s="16" t="s">
        <v>72</v>
      </c>
      <c r="D906" s="16" t="s">
        <v>939</v>
      </c>
      <c r="E906" s="30">
        <v>59.0</v>
      </c>
      <c r="F906" s="16">
        <v>4.9</v>
      </c>
      <c r="G906" s="16">
        <v>500.0</v>
      </c>
      <c r="H906" s="31" t="s">
        <v>71</v>
      </c>
    </row>
    <row r="907" ht="15.75" customHeight="1">
      <c r="B907" s="16" t="s">
        <v>58</v>
      </c>
      <c r="C907" s="16" t="s">
        <v>72</v>
      </c>
      <c r="D907" s="16" t="s">
        <v>940</v>
      </c>
      <c r="E907" s="30">
        <v>60.0</v>
      </c>
      <c r="F907" s="16">
        <v>4.9</v>
      </c>
      <c r="G907" s="16">
        <v>500.0</v>
      </c>
      <c r="H907" s="31" t="s">
        <v>71</v>
      </c>
    </row>
    <row r="908" ht="15.75" customHeight="1">
      <c r="B908" s="16" t="s">
        <v>58</v>
      </c>
      <c r="C908" s="16" t="s">
        <v>72</v>
      </c>
      <c r="D908" s="16" t="s">
        <v>585</v>
      </c>
      <c r="E908" s="30">
        <v>60.0</v>
      </c>
      <c r="F908" s="16">
        <v>4.8</v>
      </c>
      <c r="G908" s="16">
        <v>200.0</v>
      </c>
      <c r="H908" s="31" t="s">
        <v>71</v>
      </c>
    </row>
    <row r="909" ht="15.75" customHeight="1">
      <c r="B909" s="16" t="s">
        <v>58</v>
      </c>
      <c r="C909" s="16" t="s">
        <v>72</v>
      </c>
      <c r="D909" s="16" t="s">
        <v>941</v>
      </c>
      <c r="E909" s="30">
        <v>60.0</v>
      </c>
      <c r="F909" s="16">
        <v>4.9</v>
      </c>
      <c r="G909" s="16">
        <v>400.0</v>
      </c>
      <c r="H909" s="31" t="s">
        <v>71</v>
      </c>
    </row>
    <row r="910" ht="15.75" customHeight="1">
      <c r="B910" s="16" t="s">
        <v>58</v>
      </c>
      <c r="C910" s="16" t="s">
        <v>142</v>
      </c>
      <c r="D910" s="16" t="s">
        <v>942</v>
      </c>
      <c r="E910" s="30">
        <v>60.0</v>
      </c>
      <c r="F910" s="16">
        <v>0.0</v>
      </c>
      <c r="G910" s="16">
        <v>100.0</v>
      </c>
      <c r="H910" s="31" t="s">
        <v>71</v>
      </c>
    </row>
    <row r="911" ht="15.75" customHeight="1">
      <c r="B911" s="16" t="s">
        <v>58</v>
      </c>
      <c r="C911" s="16" t="s">
        <v>72</v>
      </c>
      <c r="D911" s="16" t="s">
        <v>943</v>
      </c>
      <c r="E911" s="30">
        <v>65.0</v>
      </c>
      <c r="F911" s="16">
        <v>5.0</v>
      </c>
      <c r="G911" s="16">
        <v>300.0</v>
      </c>
      <c r="H911" s="31" t="s">
        <v>71</v>
      </c>
    </row>
    <row r="912" ht="15.75" customHeight="1">
      <c r="B912" s="16" t="s">
        <v>58</v>
      </c>
      <c r="C912" s="16" t="s">
        <v>77</v>
      </c>
      <c r="D912" s="16" t="s">
        <v>944</v>
      </c>
      <c r="E912" s="30">
        <v>65.0</v>
      </c>
      <c r="F912" s="16">
        <v>5.0</v>
      </c>
      <c r="G912" s="16">
        <v>250.0</v>
      </c>
      <c r="H912" s="31" t="s">
        <v>71</v>
      </c>
    </row>
    <row r="913" ht="15.75" customHeight="1">
      <c r="B913" s="16" t="s">
        <v>58</v>
      </c>
      <c r="C913" s="16" t="s">
        <v>72</v>
      </c>
      <c r="D913" s="16" t="s">
        <v>945</v>
      </c>
      <c r="E913" s="30">
        <v>70.0</v>
      </c>
      <c r="F913" s="16">
        <v>4.9</v>
      </c>
      <c r="G913" s="16">
        <v>300.0</v>
      </c>
      <c r="H913" s="31" t="s">
        <v>71</v>
      </c>
    </row>
    <row r="914" ht="15.75" customHeight="1">
      <c r="B914" s="16" t="s">
        <v>58</v>
      </c>
      <c r="C914" s="16" t="s">
        <v>72</v>
      </c>
      <c r="D914" s="16" t="s">
        <v>946</v>
      </c>
      <c r="E914" s="30">
        <v>70.0</v>
      </c>
      <c r="F914" s="16">
        <v>4.9</v>
      </c>
      <c r="G914" s="16">
        <v>250.0</v>
      </c>
      <c r="H914" s="31" t="s">
        <v>71</v>
      </c>
    </row>
    <row r="915" ht="15.75" customHeight="1">
      <c r="B915" s="16" t="s">
        <v>58</v>
      </c>
      <c r="C915" s="16" t="s">
        <v>72</v>
      </c>
      <c r="D915" s="16" t="s">
        <v>337</v>
      </c>
      <c r="E915" s="30">
        <v>70.0</v>
      </c>
      <c r="F915" s="16">
        <v>0.0</v>
      </c>
      <c r="G915" s="16">
        <v>400.0</v>
      </c>
      <c r="H915" s="31" t="s">
        <v>71</v>
      </c>
    </row>
    <row r="916" ht="15.75" customHeight="1">
      <c r="B916" s="16" t="s">
        <v>58</v>
      </c>
      <c r="C916" s="16" t="s">
        <v>72</v>
      </c>
      <c r="D916" s="16" t="s">
        <v>947</v>
      </c>
      <c r="E916" s="30">
        <v>70.0</v>
      </c>
      <c r="F916" s="16">
        <v>4.9</v>
      </c>
      <c r="G916" s="16">
        <v>400.0</v>
      </c>
      <c r="H916" s="31" t="s">
        <v>71</v>
      </c>
    </row>
    <row r="917" ht="15.75" customHeight="1">
      <c r="B917" s="16" t="s">
        <v>58</v>
      </c>
      <c r="C917" s="16" t="s">
        <v>72</v>
      </c>
      <c r="D917" s="16" t="s">
        <v>948</v>
      </c>
      <c r="E917" s="30">
        <v>70.0</v>
      </c>
      <c r="F917" s="16">
        <v>0.0</v>
      </c>
      <c r="G917" s="16">
        <v>600.0</v>
      </c>
      <c r="H917" s="31" t="s">
        <v>71</v>
      </c>
    </row>
    <row r="918" ht="15.75" customHeight="1">
      <c r="B918" s="16" t="s">
        <v>58</v>
      </c>
      <c r="C918" s="16" t="s">
        <v>72</v>
      </c>
      <c r="D918" s="16" t="s">
        <v>949</v>
      </c>
      <c r="E918" s="30">
        <v>70.0</v>
      </c>
      <c r="F918" s="16">
        <v>4.9</v>
      </c>
      <c r="G918" s="16">
        <v>300.0</v>
      </c>
      <c r="H918" s="31" t="s">
        <v>71</v>
      </c>
    </row>
    <row r="919" ht="15.75" customHeight="1">
      <c r="B919" s="16" t="s">
        <v>58</v>
      </c>
      <c r="C919" s="16" t="s">
        <v>77</v>
      </c>
      <c r="D919" s="16" t="s">
        <v>950</v>
      </c>
      <c r="E919" s="30">
        <v>70.0</v>
      </c>
      <c r="F919" s="16">
        <v>0.0</v>
      </c>
      <c r="G919" s="16">
        <v>120.0</v>
      </c>
      <c r="H919" s="31" t="s">
        <v>71</v>
      </c>
    </row>
    <row r="920" ht="15.75" customHeight="1">
      <c r="B920" s="16" t="s">
        <v>58</v>
      </c>
      <c r="C920" s="16" t="s">
        <v>142</v>
      </c>
      <c r="D920" s="16" t="s">
        <v>951</v>
      </c>
      <c r="E920" s="30">
        <v>70.0</v>
      </c>
      <c r="F920" s="16">
        <v>4.8</v>
      </c>
      <c r="G920" s="16">
        <v>375.0</v>
      </c>
      <c r="H920" s="31" t="s">
        <v>71</v>
      </c>
    </row>
    <row r="921" ht="15.75" customHeight="1">
      <c r="B921" s="16" t="s">
        <v>58</v>
      </c>
      <c r="C921" s="16" t="s">
        <v>72</v>
      </c>
      <c r="D921" s="16" t="s">
        <v>952</v>
      </c>
      <c r="E921" s="30">
        <v>75.0</v>
      </c>
      <c r="F921" s="16">
        <v>4.9</v>
      </c>
      <c r="G921" s="16">
        <v>1000.0</v>
      </c>
      <c r="H921" s="31" t="s">
        <v>71</v>
      </c>
    </row>
    <row r="922" ht="15.75" customHeight="1">
      <c r="B922" s="16" t="s">
        <v>58</v>
      </c>
      <c r="C922" s="16" t="s">
        <v>72</v>
      </c>
      <c r="D922" s="16" t="s">
        <v>953</v>
      </c>
      <c r="E922" s="30">
        <v>75.0</v>
      </c>
      <c r="F922" s="16">
        <v>4.7</v>
      </c>
      <c r="G922" s="16">
        <v>500.0</v>
      </c>
      <c r="H922" s="31" t="s">
        <v>71</v>
      </c>
    </row>
    <row r="923" ht="15.75" customHeight="1">
      <c r="B923" s="16" t="s">
        <v>58</v>
      </c>
      <c r="C923" s="16" t="s">
        <v>72</v>
      </c>
      <c r="D923" s="16" t="s">
        <v>954</v>
      </c>
      <c r="E923" s="30">
        <v>75.0</v>
      </c>
      <c r="F923" s="16">
        <v>5.0</v>
      </c>
      <c r="G923" s="16">
        <v>500.0</v>
      </c>
      <c r="H923" s="31" t="s">
        <v>71</v>
      </c>
    </row>
    <row r="924" ht="15.75" customHeight="1">
      <c r="B924" s="16" t="s">
        <v>58</v>
      </c>
      <c r="C924" s="16" t="s">
        <v>72</v>
      </c>
      <c r="D924" s="16" t="s">
        <v>955</v>
      </c>
      <c r="E924" s="30">
        <v>75.0</v>
      </c>
      <c r="F924" s="16">
        <v>0.0</v>
      </c>
      <c r="G924" s="16">
        <v>400.0</v>
      </c>
      <c r="H924" s="31" t="s">
        <v>71</v>
      </c>
    </row>
    <row r="925" ht="15.75" customHeight="1">
      <c r="B925" s="16" t="s">
        <v>58</v>
      </c>
      <c r="C925" s="16" t="s">
        <v>72</v>
      </c>
      <c r="D925" s="16" t="s">
        <v>956</v>
      </c>
      <c r="E925" s="30">
        <v>80.0</v>
      </c>
      <c r="F925" s="16">
        <v>4.9</v>
      </c>
      <c r="G925" s="16">
        <v>230.0</v>
      </c>
      <c r="H925" s="31" t="s">
        <v>71</v>
      </c>
    </row>
    <row r="926" ht="15.75" customHeight="1">
      <c r="B926" s="16" t="s">
        <v>58</v>
      </c>
      <c r="C926" s="16" t="s">
        <v>72</v>
      </c>
      <c r="D926" s="16" t="s">
        <v>957</v>
      </c>
      <c r="E926" s="30">
        <v>80.0</v>
      </c>
      <c r="F926" s="16">
        <v>4.9</v>
      </c>
      <c r="G926" s="16">
        <v>310.0</v>
      </c>
      <c r="H926" s="31" t="s">
        <v>71</v>
      </c>
    </row>
    <row r="927" ht="15.75" customHeight="1">
      <c r="B927" s="16" t="s">
        <v>58</v>
      </c>
      <c r="C927" s="16" t="s">
        <v>72</v>
      </c>
      <c r="D927" s="16" t="s">
        <v>642</v>
      </c>
      <c r="E927" s="30">
        <v>80.0</v>
      </c>
      <c r="F927" s="16">
        <v>4.8</v>
      </c>
      <c r="G927" s="16">
        <v>500.0</v>
      </c>
      <c r="H927" s="31" t="s">
        <v>71</v>
      </c>
    </row>
    <row r="928" ht="15.75" customHeight="1">
      <c r="B928" s="16" t="s">
        <v>58</v>
      </c>
      <c r="C928" s="16" t="s">
        <v>72</v>
      </c>
      <c r="D928" s="16" t="s">
        <v>645</v>
      </c>
      <c r="E928" s="30">
        <v>80.0</v>
      </c>
      <c r="F928" s="16">
        <v>4.9</v>
      </c>
      <c r="G928" s="16">
        <v>180.0</v>
      </c>
      <c r="H928" s="31" t="s">
        <v>71</v>
      </c>
    </row>
    <row r="929" ht="15.75" customHeight="1">
      <c r="B929" s="16" t="s">
        <v>58</v>
      </c>
      <c r="C929" s="16" t="s">
        <v>72</v>
      </c>
      <c r="D929" s="16" t="s">
        <v>958</v>
      </c>
      <c r="E929" s="30">
        <v>80.0</v>
      </c>
      <c r="F929" s="16">
        <v>4.8</v>
      </c>
      <c r="G929" s="16">
        <v>300.0</v>
      </c>
      <c r="H929" s="31" t="s">
        <v>71</v>
      </c>
    </row>
    <row r="930" ht="15.75" customHeight="1">
      <c r="B930" s="16" t="s">
        <v>58</v>
      </c>
      <c r="C930" s="16" t="s">
        <v>142</v>
      </c>
      <c r="D930" s="16" t="s">
        <v>959</v>
      </c>
      <c r="E930" s="30">
        <v>80.0</v>
      </c>
      <c r="F930" s="16">
        <v>0.0</v>
      </c>
      <c r="G930" s="16">
        <v>200.0</v>
      </c>
      <c r="H930" s="31" t="s">
        <v>71</v>
      </c>
    </row>
    <row r="931" ht="15.75" customHeight="1">
      <c r="B931" s="16" t="s">
        <v>58</v>
      </c>
      <c r="C931" s="16" t="s">
        <v>72</v>
      </c>
      <c r="D931" s="16" t="s">
        <v>653</v>
      </c>
      <c r="E931" s="30">
        <v>84.0</v>
      </c>
      <c r="F931" s="16">
        <v>4.8</v>
      </c>
      <c r="G931" s="16">
        <v>500.0</v>
      </c>
      <c r="H931" s="31" t="s">
        <v>71</v>
      </c>
    </row>
    <row r="932" ht="15.75" customHeight="1">
      <c r="B932" s="16" t="s">
        <v>58</v>
      </c>
      <c r="C932" s="16" t="s">
        <v>72</v>
      </c>
      <c r="D932" s="16" t="s">
        <v>656</v>
      </c>
      <c r="E932" s="30">
        <v>85.0</v>
      </c>
      <c r="F932" s="16">
        <v>5.0</v>
      </c>
      <c r="G932" s="16">
        <v>360.0</v>
      </c>
      <c r="H932" s="31" t="s">
        <v>71</v>
      </c>
    </row>
    <row r="933" ht="15.75" customHeight="1">
      <c r="B933" s="16" t="s">
        <v>58</v>
      </c>
      <c r="C933" s="16" t="s">
        <v>72</v>
      </c>
      <c r="D933" s="16" t="s">
        <v>960</v>
      </c>
      <c r="E933" s="30">
        <v>85.0</v>
      </c>
      <c r="F933" s="16">
        <v>5.0</v>
      </c>
      <c r="G933" s="16">
        <v>600.0</v>
      </c>
      <c r="H933" s="31" t="s">
        <v>71</v>
      </c>
    </row>
    <row r="934" ht="15.75" customHeight="1">
      <c r="B934" s="16" t="s">
        <v>58</v>
      </c>
      <c r="C934" s="16" t="s">
        <v>77</v>
      </c>
      <c r="D934" s="16" t="s">
        <v>961</v>
      </c>
      <c r="E934" s="30">
        <v>85.0</v>
      </c>
      <c r="F934" s="16">
        <v>0.0</v>
      </c>
      <c r="G934" s="16">
        <v>120.0</v>
      </c>
      <c r="H934" s="31" t="s">
        <v>71</v>
      </c>
    </row>
    <row r="935" ht="15.75" customHeight="1">
      <c r="B935" s="16" t="s">
        <v>58</v>
      </c>
      <c r="C935" s="16" t="s">
        <v>72</v>
      </c>
      <c r="D935" s="16" t="s">
        <v>962</v>
      </c>
      <c r="E935" s="30">
        <v>87.0</v>
      </c>
      <c r="F935" s="16">
        <v>4.9</v>
      </c>
      <c r="G935" s="16">
        <v>600.0</v>
      </c>
      <c r="H935" s="31" t="s">
        <v>71</v>
      </c>
    </row>
    <row r="936" ht="15.75" customHeight="1">
      <c r="B936" s="16" t="s">
        <v>58</v>
      </c>
      <c r="C936" s="16" t="s">
        <v>72</v>
      </c>
      <c r="D936" s="16" t="s">
        <v>963</v>
      </c>
      <c r="E936" s="30">
        <v>90.0</v>
      </c>
      <c r="F936" s="16">
        <v>4.9</v>
      </c>
      <c r="G936" s="16">
        <v>1100.0</v>
      </c>
      <c r="H936" s="31" t="s">
        <v>71</v>
      </c>
    </row>
    <row r="937" ht="15.75" customHeight="1">
      <c r="B937" s="16" t="s">
        <v>58</v>
      </c>
      <c r="C937" s="16" t="s">
        <v>72</v>
      </c>
      <c r="D937" s="16" t="s">
        <v>964</v>
      </c>
      <c r="E937" s="30">
        <v>90.0</v>
      </c>
      <c r="F937" s="16">
        <v>5.0</v>
      </c>
      <c r="G937" s="16">
        <v>250.0</v>
      </c>
      <c r="H937" s="31" t="s">
        <v>71</v>
      </c>
    </row>
    <row r="938" ht="15.75" customHeight="1">
      <c r="B938" s="16" t="s">
        <v>58</v>
      </c>
      <c r="C938" s="16" t="s">
        <v>72</v>
      </c>
      <c r="D938" s="16" t="s">
        <v>965</v>
      </c>
      <c r="E938" s="30">
        <v>90.0</v>
      </c>
      <c r="F938" s="16">
        <v>5.0</v>
      </c>
      <c r="G938" s="16">
        <v>170.0</v>
      </c>
      <c r="H938" s="31" t="s">
        <v>71</v>
      </c>
    </row>
    <row r="939" ht="15.75" customHeight="1">
      <c r="B939" s="16" t="s">
        <v>58</v>
      </c>
      <c r="C939" s="16" t="s">
        <v>72</v>
      </c>
      <c r="D939" s="16" t="s">
        <v>966</v>
      </c>
      <c r="E939" s="30">
        <v>90.0</v>
      </c>
      <c r="F939" s="16">
        <v>4.9</v>
      </c>
      <c r="G939" s="16">
        <v>250.0</v>
      </c>
      <c r="H939" s="31" t="s">
        <v>71</v>
      </c>
    </row>
    <row r="940" ht="15.75" customHeight="1">
      <c r="B940" s="16" t="s">
        <v>58</v>
      </c>
      <c r="C940" s="16" t="s">
        <v>72</v>
      </c>
      <c r="D940" s="16" t="s">
        <v>967</v>
      </c>
      <c r="E940" s="30">
        <v>90.0</v>
      </c>
      <c r="F940" s="16">
        <v>4.9</v>
      </c>
      <c r="G940" s="16">
        <v>550.0</v>
      </c>
      <c r="H940" s="31" t="s">
        <v>71</v>
      </c>
    </row>
    <row r="941" ht="15.75" customHeight="1">
      <c r="B941" s="16" t="s">
        <v>58</v>
      </c>
      <c r="C941" s="16" t="s">
        <v>72</v>
      </c>
      <c r="D941" s="16" t="s">
        <v>968</v>
      </c>
      <c r="E941" s="30">
        <v>92.0</v>
      </c>
      <c r="F941" s="16">
        <v>5.0</v>
      </c>
      <c r="G941" s="16">
        <v>270.0</v>
      </c>
      <c r="H941" s="31" t="s">
        <v>71</v>
      </c>
    </row>
    <row r="942" ht="15.75" customHeight="1">
      <c r="B942" s="16" t="s">
        <v>58</v>
      </c>
      <c r="C942" s="16" t="s">
        <v>72</v>
      </c>
      <c r="D942" s="16" t="s">
        <v>969</v>
      </c>
      <c r="E942" s="30">
        <v>100.0</v>
      </c>
      <c r="F942" s="16">
        <v>5.0</v>
      </c>
      <c r="G942" s="16">
        <v>400.0</v>
      </c>
      <c r="H942" s="31" t="s">
        <v>71</v>
      </c>
    </row>
    <row r="943" ht="15.75" customHeight="1">
      <c r="B943" s="16" t="s">
        <v>58</v>
      </c>
      <c r="C943" s="16" t="s">
        <v>77</v>
      </c>
      <c r="D943" s="16" t="s">
        <v>970</v>
      </c>
      <c r="E943" s="30">
        <v>130.0</v>
      </c>
      <c r="F943" s="16">
        <v>5.0</v>
      </c>
      <c r="G943" s="16">
        <v>60.0</v>
      </c>
      <c r="H943" s="31" t="s">
        <v>71</v>
      </c>
    </row>
    <row r="944" ht="15.75" customHeight="1">
      <c r="B944" s="16" t="s">
        <v>58</v>
      </c>
      <c r="C944" s="16" t="s">
        <v>72</v>
      </c>
      <c r="D944" s="16" t="s">
        <v>971</v>
      </c>
      <c r="E944" s="30">
        <v>250.0</v>
      </c>
      <c r="F944" s="16">
        <v>0.0</v>
      </c>
      <c r="G944" s="16">
        <v>300.0</v>
      </c>
      <c r="H944" s="31" t="s">
        <v>71</v>
      </c>
    </row>
    <row r="945" ht="15.75" customHeight="1">
      <c r="B945" s="16" t="s">
        <v>59</v>
      </c>
      <c r="C945" s="16" t="s">
        <v>142</v>
      </c>
      <c r="D945" s="16" t="s">
        <v>972</v>
      </c>
      <c r="E945" s="30">
        <v>20.0</v>
      </c>
      <c r="F945" s="16">
        <v>0.0</v>
      </c>
      <c r="G945" s="16">
        <v>50.0</v>
      </c>
      <c r="H945" s="31" t="s">
        <v>71</v>
      </c>
    </row>
    <row r="946" ht="15.75" customHeight="1">
      <c r="B946" s="16" t="s">
        <v>59</v>
      </c>
      <c r="C946" s="16" t="s">
        <v>72</v>
      </c>
      <c r="D946" s="16" t="s">
        <v>973</v>
      </c>
      <c r="E946" s="30">
        <v>30.0</v>
      </c>
      <c r="F946" s="16">
        <v>0.0</v>
      </c>
      <c r="G946" s="16">
        <v>90.0</v>
      </c>
      <c r="H946" s="31" t="s">
        <v>71</v>
      </c>
    </row>
    <row r="947" ht="15.75" customHeight="1">
      <c r="B947" s="16" t="s">
        <v>59</v>
      </c>
      <c r="C947" s="16" t="s">
        <v>142</v>
      </c>
      <c r="D947" s="16" t="s">
        <v>974</v>
      </c>
      <c r="E947" s="30">
        <v>30.0</v>
      </c>
      <c r="F947" s="16">
        <v>5.0</v>
      </c>
      <c r="G947" s="16">
        <v>130.0</v>
      </c>
      <c r="H947" s="31" t="s">
        <v>71</v>
      </c>
    </row>
    <row r="948" ht="15.75" customHeight="1">
      <c r="B948" s="16" t="s">
        <v>59</v>
      </c>
      <c r="C948" s="16" t="s">
        <v>142</v>
      </c>
      <c r="D948" s="16" t="s">
        <v>975</v>
      </c>
      <c r="E948" s="30">
        <v>30.0</v>
      </c>
      <c r="F948" s="16">
        <v>0.0</v>
      </c>
      <c r="G948" s="16">
        <v>120.0</v>
      </c>
      <c r="H948" s="31" t="s">
        <v>71</v>
      </c>
    </row>
    <row r="949" ht="15.75" customHeight="1">
      <c r="B949" s="16" t="s">
        <v>59</v>
      </c>
      <c r="C949" s="16" t="s">
        <v>72</v>
      </c>
      <c r="D949" s="16" t="s">
        <v>976</v>
      </c>
      <c r="E949" s="30">
        <v>33.0</v>
      </c>
      <c r="F949" s="16">
        <v>0.0</v>
      </c>
      <c r="G949" s="16">
        <v>300.0</v>
      </c>
      <c r="H949" s="31" t="s">
        <v>71</v>
      </c>
    </row>
    <row r="950" ht="15.75" customHeight="1">
      <c r="B950" s="16" t="s">
        <v>59</v>
      </c>
      <c r="C950" s="16" t="s">
        <v>72</v>
      </c>
      <c r="D950" s="16" t="s">
        <v>977</v>
      </c>
      <c r="E950" s="30">
        <v>35.0</v>
      </c>
      <c r="F950" s="16">
        <v>0.0</v>
      </c>
      <c r="G950" s="16">
        <v>300.0</v>
      </c>
      <c r="H950" s="31" t="s">
        <v>71</v>
      </c>
    </row>
    <row r="951" ht="15.75" customHeight="1">
      <c r="B951" s="16" t="s">
        <v>59</v>
      </c>
      <c r="C951" s="16" t="s">
        <v>77</v>
      </c>
      <c r="D951" s="16" t="s">
        <v>978</v>
      </c>
      <c r="E951" s="30">
        <v>35.0</v>
      </c>
      <c r="F951" s="16">
        <v>0.0</v>
      </c>
      <c r="G951" s="16">
        <v>100.0</v>
      </c>
      <c r="H951" s="31" t="s">
        <v>71</v>
      </c>
    </row>
    <row r="952" ht="15.75" customHeight="1">
      <c r="B952" s="16" t="s">
        <v>59</v>
      </c>
      <c r="C952" s="16" t="s">
        <v>142</v>
      </c>
      <c r="D952" s="16" t="s">
        <v>979</v>
      </c>
      <c r="E952" s="30">
        <v>35.0</v>
      </c>
      <c r="F952" s="16">
        <v>0.0</v>
      </c>
      <c r="G952" s="16">
        <v>40.0</v>
      </c>
      <c r="H952" s="31" t="s">
        <v>71</v>
      </c>
    </row>
    <row r="953" ht="15.75" customHeight="1">
      <c r="B953" s="16" t="s">
        <v>59</v>
      </c>
      <c r="C953" s="16" t="s">
        <v>77</v>
      </c>
      <c r="D953" s="16" t="s">
        <v>980</v>
      </c>
      <c r="E953" s="30">
        <v>36.5</v>
      </c>
      <c r="F953" s="16">
        <v>0.0</v>
      </c>
      <c r="G953" s="16">
        <v>400.0</v>
      </c>
      <c r="H953" s="31" t="s">
        <v>71</v>
      </c>
    </row>
    <row r="954" ht="15.75" customHeight="1">
      <c r="B954" s="16" t="s">
        <v>59</v>
      </c>
      <c r="C954" s="16" t="s">
        <v>77</v>
      </c>
      <c r="D954" s="16" t="s">
        <v>981</v>
      </c>
      <c r="E954" s="30">
        <v>40.0</v>
      </c>
      <c r="F954" s="16">
        <v>0.0</v>
      </c>
      <c r="G954" s="16">
        <v>70.0</v>
      </c>
      <c r="H954" s="31" t="s">
        <v>71</v>
      </c>
    </row>
    <row r="955" ht="15.75" customHeight="1">
      <c r="B955" s="16" t="s">
        <v>59</v>
      </c>
      <c r="C955" s="16" t="s">
        <v>142</v>
      </c>
      <c r="D955" s="16" t="s">
        <v>982</v>
      </c>
      <c r="E955" s="30">
        <v>40.0</v>
      </c>
      <c r="F955" s="16">
        <v>0.0</v>
      </c>
      <c r="G955" s="16">
        <v>400.0</v>
      </c>
      <c r="H955" s="31" t="s">
        <v>71</v>
      </c>
    </row>
    <row r="956" ht="15.75" customHeight="1">
      <c r="B956" s="16" t="s">
        <v>59</v>
      </c>
      <c r="C956" s="16" t="s">
        <v>77</v>
      </c>
      <c r="D956" s="16" t="s">
        <v>983</v>
      </c>
      <c r="E956" s="30">
        <v>45.0</v>
      </c>
      <c r="F956" s="16">
        <v>0.0</v>
      </c>
      <c r="G956" s="16">
        <v>80.0</v>
      </c>
      <c r="H956" s="31" t="s">
        <v>71</v>
      </c>
    </row>
    <row r="957" ht="15.75" customHeight="1">
      <c r="B957" s="16" t="s">
        <v>59</v>
      </c>
      <c r="C957" s="16" t="s">
        <v>142</v>
      </c>
      <c r="D957" s="16" t="s">
        <v>984</v>
      </c>
      <c r="E957" s="30">
        <v>45.0</v>
      </c>
      <c r="F957" s="16">
        <v>0.0</v>
      </c>
      <c r="G957" s="16">
        <v>80.0</v>
      </c>
      <c r="H957" s="31" t="s">
        <v>71</v>
      </c>
    </row>
    <row r="958" ht="15.75" customHeight="1">
      <c r="B958" s="16" t="s">
        <v>59</v>
      </c>
      <c r="C958" s="16" t="s">
        <v>72</v>
      </c>
      <c r="D958" s="16" t="s">
        <v>985</v>
      </c>
      <c r="E958" s="30">
        <v>47.5</v>
      </c>
      <c r="F958" s="16">
        <v>0.0</v>
      </c>
      <c r="G958" s="16">
        <v>450.0</v>
      </c>
      <c r="H958" s="31" t="s">
        <v>71</v>
      </c>
    </row>
    <row r="959" ht="15.75" customHeight="1">
      <c r="B959" s="16" t="s">
        <v>59</v>
      </c>
      <c r="C959" s="16" t="s">
        <v>72</v>
      </c>
      <c r="D959" s="16" t="s">
        <v>986</v>
      </c>
      <c r="E959" s="30">
        <v>49.0</v>
      </c>
      <c r="F959" s="16">
        <v>5.0</v>
      </c>
      <c r="G959" s="16">
        <v>300.0</v>
      </c>
      <c r="H959" s="31" t="s">
        <v>71</v>
      </c>
    </row>
    <row r="960" ht="15.75" customHeight="1">
      <c r="B960" s="16" t="s">
        <v>59</v>
      </c>
      <c r="C960" s="16" t="s">
        <v>142</v>
      </c>
      <c r="D960" s="16" t="s">
        <v>562</v>
      </c>
      <c r="E960" s="30">
        <v>49.0</v>
      </c>
      <c r="F960" s="16">
        <v>5.0</v>
      </c>
      <c r="G960" s="16">
        <v>120.0</v>
      </c>
      <c r="H960" s="31" t="s">
        <v>71</v>
      </c>
    </row>
    <row r="961" ht="15.75" customHeight="1">
      <c r="B961" s="16" t="s">
        <v>59</v>
      </c>
      <c r="C961" s="16" t="s">
        <v>72</v>
      </c>
      <c r="D961" s="16" t="s">
        <v>987</v>
      </c>
      <c r="E961" s="30">
        <v>50.0</v>
      </c>
      <c r="F961" s="16">
        <v>4.8</v>
      </c>
      <c r="G961" s="16">
        <v>420.0</v>
      </c>
      <c r="H961" s="31" t="s">
        <v>71</v>
      </c>
    </row>
    <row r="962" ht="15.75" customHeight="1">
      <c r="B962" s="16" t="s">
        <v>59</v>
      </c>
      <c r="C962" s="16" t="s">
        <v>72</v>
      </c>
      <c r="D962" s="16" t="s">
        <v>988</v>
      </c>
      <c r="E962" s="30">
        <v>50.0</v>
      </c>
      <c r="F962" s="16">
        <v>5.0</v>
      </c>
      <c r="G962" s="16">
        <v>40.0</v>
      </c>
      <c r="H962" s="31" t="s">
        <v>71</v>
      </c>
    </row>
    <row r="963" ht="15.75" customHeight="1">
      <c r="B963" s="16" t="s">
        <v>59</v>
      </c>
      <c r="C963" s="16" t="s">
        <v>77</v>
      </c>
      <c r="D963" s="16" t="s">
        <v>989</v>
      </c>
      <c r="E963" s="30">
        <v>50.0</v>
      </c>
      <c r="F963" s="16">
        <v>0.0</v>
      </c>
      <c r="G963" s="16">
        <v>140.0</v>
      </c>
      <c r="H963" s="31" t="s">
        <v>71</v>
      </c>
    </row>
    <row r="964" ht="15.75" customHeight="1">
      <c r="B964" s="16" t="s">
        <v>59</v>
      </c>
      <c r="C964" s="16" t="s">
        <v>77</v>
      </c>
      <c r="D964" s="16" t="s">
        <v>990</v>
      </c>
      <c r="E964" s="30">
        <v>50.0</v>
      </c>
      <c r="F964" s="16">
        <v>0.0</v>
      </c>
      <c r="G964" s="16">
        <v>1200.0</v>
      </c>
      <c r="H964" s="31" t="s">
        <v>71</v>
      </c>
    </row>
    <row r="965" ht="15.75" customHeight="1">
      <c r="B965" s="16" t="s">
        <v>59</v>
      </c>
      <c r="C965" s="16" t="s">
        <v>142</v>
      </c>
      <c r="D965" s="16" t="s">
        <v>991</v>
      </c>
      <c r="E965" s="30">
        <v>50.0</v>
      </c>
      <c r="F965" s="16">
        <v>0.0</v>
      </c>
      <c r="G965" s="16">
        <v>110.0</v>
      </c>
      <c r="H965" s="31" t="s">
        <v>71</v>
      </c>
    </row>
    <row r="966" ht="15.75" customHeight="1">
      <c r="B966" s="16" t="s">
        <v>59</v>
      </c>
      <c r="C966" s="16" t="s">
        <v>142</v>
      </c>
      <c r="D966" s="16" t="s">
        <v>992</v>
      </c>
      <c r="E966" s="30">
        <v>50.0</v>
      </c>
      <c r="F966" s="16">
        <v>0.0</v>
      </c>
      <c r="G966" s="16">
        <v>120.0</v>
      </c>
      <c r="H966" s="31" t="s">
        <v>71</v>
      </c>
    </row>
    <row r="967" ht="15.75" customHeight="1">
      <c r="B967" s="16" t="s">
        <v>59</v>
      </c>
      <c r="C967" s="16" t="s">
        <v>72</v>
      </c>
      <c r="D967" s="16" t="s">
        <v>993</v>
      </c>
      <c r="E967" s="30">
        <v>55.0</v>
      </c>
      <c r="F967" s="16">
        <v>4.9</v>
      </c>
      <c r="G967" s="16">
        <v>350.0</v>
      </c>
      <c r="H967" s="31" t="s">
        <v>71</v>
      </c>
    </row>
    <row r="968" ht="15.75" customHeight="1">
      <c r="B968" s="16" t="s">
        <v>59</v>
      </c>
      <c r="C968" s="16" t="s">
        <v>72</v>
      </c>
      <c r="D968" s="16" t="s">
        <v>994</v>
      </c>
      <c r="E968" s="30">
        <v>55.0</v>
      </c>
      <c r="F968" s="16">
        <v>4.9</v>
      </c>
      <c r="G968" s="16">
        <v>200.0</v>
      </c>
      <c r="H968" s="31" t="s">
        <v>71</v>
      </c>
    </row>
    <row r="969" ht="15.75" customHeight="1">
      <c r="B969" s="16" t="s">
        <v>59</v>
      </c>
      <c r="C969" s="16" t="s">
        <v>72</v>
      </c>
      <c r="D969" s="16" t="s">
        <v>995</v>
      </c>
      <c r="E969" s="30">
        <v>55.0</v>
      </c>
      <c r="F969" s="16">
        <v>0.0</v>
      </c>
      <c r="G969" s="16">
        <v>400.0</v>
      </c>
      <c r="H969" s="31" t="s">
        <v>71</v>
      </c>
    </row>
    <row r="970" ht="15.75" customHeight="1">
      <c r="B970" s="16" t="s">
        <v>59</v>
      </c>
      <c r="C970" s="16" t="s">
        <v>72</v>
      </c>
      <c r="D970" s="16" t="s">
        <v>996</v>
      </c>
      <c r="E970" s="30">
        <v>55.0</v>
      </c>
      <c r="F970" s="16">
        <v>0.0</v>
      </c>
      <c r="G970" s="16">
        <v>300.0</v>
      </c>
      <c r="H970" s="31" t="s">
        <v>71</v>
      </c>
    </row>
    <row r="971" ht="15.75" customHeight="1">
      <c r="B971" s="16" t="s">
        <v>59</v>
      </c>
      <c r="C971" s="16" t="s">
        <v>142</v>
      </c>
      <c r="D971" s="16" t="s">
        <v>997</v>
      </c>
      <c r="E971" s="30">
        <v>55.0</v>
      </c>
      <c r="F971" s="16">
        <v>0.0</v>
      </c>
      <c r="G971" s="16">
        <v>200.0</v>
      </c>
      <c r="H971" s="31" t="s">
        <v>71</v>
      </c>
    </row>
    <row r="972" ht="15.75" customHeight="1">
      <c r="B972" s="16" t="s">
        <v>59</v>
      </c>
      <c r="C972" s="16" t="s">
        <v>142</v>
      </c>
      <c r="D972" s="16" t="s">
        <v>998</v>
      </c>
      <c r="E972" s="30">
        <v>55.0</v>
      </c>
      <c r="F972" s="16">
        <v>0.0</v>
      </c>
      <c r="G972" s="16">
        <v>200.0</v>
      </c>
      <c r="H972" s="31" t="s">
        <v>71</v>
      </c>
    </row>
    <row r="973" ht="15.75" customHeight="1">
      <c r="B973" s="16" t="s">
        <v>59</v>
      </c>
      <c r="C973" s="16" t="s">
        <v>72</v>
      </c>
      <c r="D973" s="16" t="s">
        <v>999</v>
      </c>
      <c r="E973" s="30">
        <v>56.5</v>
      </c>
      <c r="F973" s="16">
        <v>4.9</v>
      </c>
      <c r="G973" s="16">
        <v>400.0</v>
      </c>
      <c r="H973" s="31" t="s">
        <v>71</v>
      </c>
    </row>
    <row r="974" ht="15.75" customHeight="1">
      <c r="B974" s="16" t="s">
        <v>59</v>
      </c>
      <c r="C974" s="16" t="s">
        <v>72</v>
      </c>
      <c r="D974" s="16" t="s">
        <v>1000</v>
      </c>
      <c r="E974" s="30">
        <v>60.0</v>
      </c>
      <c r="F974" s="16">
        <v>4.8</v>
      </c>
      <c r="G974" s="16">
        <v>550.0</v>
      </c>
      <c r="H974" s="31" t="s">
        <v>71</v>
      </c>
    </row>
    <row r="975" ht="15.75" customHeight="1">
      <c r="B975" s="16" t="s">
        <v>59</v>
      </c>
      <c r="C975" s="16" t="s">
        <v>72</v>
      </c>
      <c r="D975" s="16" t="s">
        <v>1001</v>
      </c>
      <c r="E975" s="30">
        <v>60.0</v>
      </c>
      <c r="F975" s="16">
        <v>4.9</v>
      </c>
      <c r="G975" s="16">
        <v>250.0</v>
      </c>
      <c r="H975" s="31" t="s">
        <v>71</v>
      </c>
    </row>
    <row r="976" ht="15.75" customHeight="1">
      <c r="B976" s="16" t="s">
        <v>59</v>
      </c>
      <c r="C976" s="16" t="s">
        <v>72</v>
      </c>
      <c r="D976" s="16" t="s">
        <v>1002</v>
      </c>
      <c r="E976" s="30">
        <v>60.0</v>
      </c>
      <c r="F976" s="16">
        <v>4.8</v>
      </c>
      <c r="G976" s="16">
        <v>120.0</v>
      </c>
      <c r="H976" s="31" t="s">
        <v>71</v>
      </c>
    </row>
    <row r="977" ht="15.75" customHeight="1">
      <c r="B977" s="16" t="s">
        <v>59</v>
      </c>
      <c r="C977" s="16" t="s">
        <v>72</v>
      </c>
      <c r="D977" s="16" t="s">
        <v>1003</v>
      </c>
      <c r="E977" s="30">
        <v>60.0</v>
      </c>
      <c r="F977" s="16">
        <v>4.9</v>
      </c>
      <c r="G977" s="16">
        <v>180.0</v>
      </c>
      <c r="H977" s="31" t="s">
        <v>71</v>
      </c>
    </row>
    <row r="978" ht="15.75" customHeight="1">
      <c r="B978" s="16" t="s">
        <v>59</v>
      </c>
      <c r="C978" s="16" t="s">
        <v>72</v>
      </c>
      <c r="D978" s="16" t="s">
        <v>1004</v>
      </c>
      <c r="E978" s="30">
        <v>60.0</v>
      </c>
      <c r="F978" s="16">
        <v>4.9</v>
      </c>
      <c r="G978" s="16">
        <v>260.0</v>
      </c>
      <c r="H978" s="31" t="s">
        <v>71</v>
      </c>
    </row>
    <row r="979" ht="15.75" customHeight="1">
      <c r="B979" s="16" t="s">
        <v>59</v>
      </c>
      <c r="C979" s="16" t="s">
        <v>72</v>
      </c>
      <c r="D979" s="16" t="s">
        <v>1005</v>
      </c>
      <c r="E979" s="30">
        <v>60.0</v>
      </c>
      <c r="F979" s="16">
        <v>5.0</v>
      </c>
      <c r="G979" s="16">
        <v>1000.0</v>
      </c>
      <c r="H979" s="31" t="s">
        <v>71</v>
      </c>
    </row>
    <row r="980" ht="15.75" customHeight="1">
      <c r="B980" s="16" t="s">
        <v>59</v>
      </c>
      <c r="C980" s="16" t="s">
        <v>72</v>
      </c>
      <c r="D980" s="16" t="s">
        <v>1006</v>
      </c>
      <c r="E980" s="30">
        <v>60.0</v>
      </c>
      <c r="F980" s="16">
        <v>5.0</v>
      </c>
      <c r="G980" s="16">
        <v>220.0</v>
      </c>
      <c r="H980" s="31" t="s">
        <v>71</v>
      </c>
    </row>
    <row r="981" ht="15.75" customHeight="1">
      <c r="B981" s="16" t="s">
        <v>59</v>
      </c>
      <c r="C981" s="16" t="s">
        <v>77</v>
      </c>
      <c r="D981" s="16" t="s">
        <v>1007</v>
      </c>
      <c r="E981" s="30">
        <v>60.0</v>
      </c>
      <c r="F981" s="16">
        <v>0.0</v>
      </c>
      <c r="G981" s="16">
        <v>100.0</v>
      </c>
      <c r="H981" s="31" t="s">
        <v>71</v>
      </c>
    </row>
    <row r="982" ht="15.75" customHeight="1">
      <c r="B982" s="16" t="s">
        <v>59</v>
      </c>
      <c r="C982" s="16" t="s">
        <v>77</v>
      </c>
      <c r="D982" s="16" t="s">
        <v>1008</v>
      </c>
      <c r="E982" s="30">
        <v>60.0</v>
      </c>
      <c r="F982" s="16">
        <v>5.0</v>
      </c>
      <c r="G982" s="16">
        <v>200.0</v>
      </c>
      <c r="H982" s="31" t="s">
        <v>71</v>
      </c>
    </row>
    <row r="983" ht="15.75" customHeight="1">
      <c r="B983" s="16" t="s">
        <v>59</v>
      </c>
      <c r="C983" s="16" t="s">
        <v>142</v>
      </c>
      <c r="D983" s="16" t="s">
        <v>1009</v>
      </c>
      <c r="E983" s="30">
        <v>60.0</v>
      </c>
      <c r="F983" s="16">
        <v>0.0</v>
      </c>
      <c r="G983" s="16">
        <v>0.0</v>
      </c>
      <c r="H983" s="31" t="s">
        <v>71</v>
      </c>
    </row>
    <row r="984" ht="15.75" customHeight="1">
      <c r="B984" s="16" t="s">
        <v>59</v>
      </c>
      <c r="C984" s="16" t="s">
        <v>72</v>
      </c>
      <c r="D984" s="16" t="s">
        <v>1010</v>
      </c>
      <c r="E984" s="30">
        <v>65.0</v>
      </c>
      <c r="F984" s="16">
        <v>4.8</v>
      </c>
      <c r="G984" s="16">
        <v>200.0</v>
      </c>
      <c r="H984" s="31" t="s">
        <v>71</v>
      </c>
    </row>
    <row r="985" ht="15.75" customHeight="1">
      <c r="B985" s="16" t="s">
        <v>59</v>
      </c>
      <c r="C985" s="16" t="s">
        <v>72</v>
      </c>
      <c r="D985" s="16" t="s">
        <v>1011</v>
      </c>
      <c r="E985" s="30">
        <v>65.0</v>
      </c>
      <c r="F985" s="16">
        <v>5.0</v>
      </c>
      <c r="G985" s="16">
        <v>250.0</v>
      </c>
      <c r="H985" s="31" t="s">
        <v>71</v>
      </c>
    </row>
    <row r="986" ht="15.75" customHeight="1">
      <c r="B986" s="16" t="s">
        <v>59</v>
      </c>
      <c r="C986" s="16" t="s">
        <v>72</v>
      </c>
      <c r="D986" s="16" t="s">
        <v>1012</v>
      </c>
      <c r="E986" s="30">
        <v>65.0</v>
      </c>
      <c r="F986" s="16">
        <v>5.0</v>
      </c>
      <c r="G986" s="16">
        <v>80.0</v>
      </c>
      <c r="H986" s="31" t="s">
        <v>71</v>
      </c>
    </row>
    <row r="987" ht="15.75" customHeight="1">
      <c r="B987" s="16" t="s">
        <v>59</v>
      </c>
      <c r="C987" s="16" t="s">
        <v>72</v>
      </c>
      <c r="D987" s="16" t="s">
        <v>1013</v>
      </c>
      <c r="E987" s="30">
        <v>65.0</v>
      </c>
      <c r="F987" s="16">
        <v>0.0</v>
      </c>
      <c r="G987" s="16">
        <v>220.0</v>
      </c>
      <c r="H987" s="31" t="s">
        <v>71</v>
      </c>
    </row>
    <row r="988" ht="15.75" customHeight="1">
      <c r="B988" s="16" t="s">
        <v>59</v>
      </c>
      <c r="C988" s="16" t="s">
        <v>142</v>
      </c>
      <c r="D988" s="16" t="s">
        <v>1014</v>
      </c>
      <c r="E988" s="30">
        <v>65.0</v>
      </c>
      <c r="F988" s="16">
        <v>5.0</v>
      </c>
      <c r="G988" s="16">
        <v>80.0</v>
      </c>
      <c r="H988" s="31" t="s">
        <v>71</v>
      </c>
    </row>
    <row r="989" ht="15.75" customHeight="1">
      <c r="B989" s="16" t="s">
        <v>59</v>
      </c>
      <c r="C989" s="16" t="s">
        <v>72</v>
      </c>
      <c r="D989" s="16" t="s">
        <v>1015</v>
      </c>
      <c r="E989" s="30">
        <v>67.0</v>
      </c>
      <c r="F989" s="16">
        <v>0.0</v>
      </c>
      <c r="G989" s="16">
        <v>400.0</v>
      </c>
      <c r="H989" s="31" t="s">
        <v>71</v>
      </c>
    </row>
    <row r="990" ht="15.75" customHeight="1">
      <c r="B990" s="16" t="s">
        <v>59</v>
      </c>
      <c r="C990" s="16" t="s">
        <v>72</v>
      </c>
      <c r="D990" s="16" t="s">
        <v>1016</v>
      </c>
      <c r="E990" s="30">
        <v>67.5</v>
      </c>
      <c r="F990" s="16">
        <v>4.9</v>
      </c>
      <c r="G990" s="16">
        <v>700.0</v>
      </c>
      <c r="H990" s="31" t="s">
        <v>71</v>
      </c>
    </row>
    <row r="991" ht="15.75" customHeight="1">
      <c r="B991" s="16" t="s">
        <v>59</v>
      </c>
      <c r="C991" s="16" t="s">
        <v>72</v>
      </c>
      <c r="D991" s="16" t="s">
        <v>612</v>
      </c>
      <c r="E991" s="30">
        <v>70.0</v>
      </c>
      <c r="F991" s="16">
        <v>4.9</v>
      </c>
      <c r="G991" s="16">
        <v>180.0</v>
      </c>
      <c r="H991" s="31" t="s">
        <v>71</v>
      </c>
    </row>
    <row r="992" ht="15.75" customHeight="1">
      <c r="B992" s="16" t="s">
        <v>59</v>
      </c>
      <c r="C992" s="16" t="s">
        <v>72</v>
      </c>
      <c r="D992" s="16" t="s">
        <v>1017</v>
      </c>
      <c r="E992" s="30">
        <v>70.0</v>
      </c>
      <c r="F992" s="16">
        <v>4.7</v>
      </c>
      <c r="G992" s="16">
        <v>300.0</v>
      </c>
      <c r="H992" s="31" t="s">
        <v>71</v>
      </c>
    </row>
    <row r="993" ht="15.75" customHeight="1">
      <c r="B993" s="16" t="s">
        <v>59</v>
      </c>
      <c r="C993" s="16" t="s">
        <v>72</v>
      </c>
      <c r="D993" s="16" t="s">
        <v>1018</v>
      </c>
      <c r="E993" s="30">
        <v>70.0</v>
      </c>
      <c r="F993" s="16">
        <v>5.0</v>
      </c>
      <c r="G993" s="16">
        <v>300.0</v>
      </c>
      <c r="H993" s="31" t="s">
        <v>71</v>
      </c>
    </row>
    <row r="994" ht="15.75" customHeight="1">
      <c r="B994" s="16" t="s">
        <v>59</v>
      </c>
      <c r="C994" s="16" t="s">
        <v>72</v>
      </c>
      <c r="D994" s="16" t="s">
        <v>1019</v>
      </c>
      <c r="E994" s="30">
        <v>70.0</v>
      </c>
      <c r="F994" s="16">
        <v>4.9</v>
      </c>
      <c r="G994" s="16">
        <v>600.0</v>
      </c>
      <c r="H994" s="31" t="s">
        <v>71</v>
      </c>
    </row>
    <row r="995" ht="15.75" customHeight="1">
      <c r="B995" s="16" t="s">
        <v>59</v>
      </c>
      <c r="C995" s="16" t="s">
        <v>72</v>
      </c>
      <c r="D995" s="16" t="s">
        <v>1020</v>
      </c>
      <c r="E995" s="30">
        <v>70.0</v>
      </c>
      <c r="F995" s="16">
        <v>4.8</v>
      </c>
      <c r="G995" s="16">
        <v>400.0</v>
      </c>
      <c r="H995" s="31" t="s">
        <v>71</v>
      </c>
    </row>
    <row r="996" ht="15.75" customHeight="1">
      <c r="B996" s="16" t="s">
        <v>59</v>
      </c>
      <c r="C996" s="16" t="s">
        <v>72</v>
      </c>
      <c r="D996" s="16" t="s">
        <v>1021</v>
      </c>
      <c r="E996" s="30">
        <v>70.0</v>
      </c>
      <c r="F996" s="16">
        <v>5.0</v>
      </c>
      <c r="G996" s="16">
        <v>250.0</v>
      </c>
      <c r="H996" s="31" t="s">
        <v>71</v>
      </c>
    </row>
    <row r="997" ht="15.75" customHeight="1">
      <c r="B997" s="16" t="s">
        <v>59</v>
      </c>
      <c r="C997" s="16" t="s">
        <v>77</v>
      </c>
      <c r="D997" s="16" t="s">
        <v>1022</v>
      </c>
      <c r="E997" s="30">
        <v>70.0</v>
      </c>
      <c r="F997" s="16">
        <v>0.0</v>
      </c>
      <c r="G997" s="16">
        <v>200.0</v>
      </c>
      <c r="H997" s="31" t="s">
        <v>71</v>
      </c>
    </row>
    <row r="998" ht="15.75" customHeight="1">
      <c r="B998" s="16" t="s">
        <v>59</v>
      </c>
      <c r="C998" s="16" t="s">
        <v>142</v>
      </c>
      <c r="D998" s="16" t="s">
        <v>1023</v>
      </c>
      <c r="E998" s="30">
        <v>70.0</v>
      </c>
      <c r="F998" s="16">
        <v>0.0</v>
      </c>
      <c r="G998" s="16">
        <v>200.0</v>
      </c>
      <c r="H998" s="31" t="s">
        <v>71</v>
      </c>
    </row>
    <row r="999" ht="15.75" customHeight="1">
      <c r="B999" s="16" t="s">
        <v>59</v>
      </c>
      <c r="C999" s="16" t="s">
        <v>72</v>
      </c>
      <c r="D999" s="16" t="s">
        <v>1024</v>
      </c>
      <c r="E999" s="30">
        <v>71.0</v>
      </c>
      <c r="F999" s="16">
        <v>0.0</v>
      </c>
      <c r="G999" s="16">
        <v>200.0</v>
      </c>
      <c r="H999" s="31" t="s">
        <v>71</v>
      </c>
    </row>
    <row r="1000" ht="15.75" customHeight="1">
      <c r="B1000" s="16" t="s">
        <v>59</v>
      </c>
      <c r="C1000" s="16" t="s">
        <v>72</v>
      </c>
      <c r="D1000" s="16" t="s">
        <v>1025</v>
      </c>
      <c r="E1000" s="30">
        <v>72.5</v>
      </c>
      <c r="F1000" s="16">
        <v>0.0</v>
      </c>
      <c r="G1000" s="16">
        <v>200.0</v>
      </c>
      <c r="H1000" s="31" t="s">
        <v>71</v>
      </c>
    </row>
    <row r="1001" ht="15.75" customHeight="1">
      <c r="B1001" s="16" t="s">
        <v>59</v>
      </c>
      <c r="C1001" s="16" t="s">
        <v>72</v>
      </c>
      <c r="D1001" s="16" t="s">
        <v>1026</v>
      </c>
      <c r="E1001" s="30">
        <v>75.0</v>
      </c>
      <c r="F1001" s="16">
        <v>4.9</v>
      </c>
      <c r="G1001" s="16">
        <v>200.0</v>
      </c>
      <c r="H1001" s="31" t="s">
        <v>71</v>
      </c>
    </row>
    <row r="1002" ht="15.75" customHeight="1">
      <c r="B1002" s="16" t="s">
        <v>59</v>
      </c>
      <c r="C1002" s="16" t="s">
        <v>72</v>
      </c>
      <c r="D1002" s="16" t="s">
        <v>622</v>
      </c>
      <c r="E1002" s="30">
        <v>75.0</v>
      </c>
      <c r="F1002" s="16">
        <v>4.9</v>
      </c>
      <c r="G1002" s="16">
        <v>180.0</v>
      </c>
      <c r="H1002" s="31" t="s">
        <v>71</v>
      </c>
    </row>
    <row r="1003" ht="15.75" customHeight="1">
      <c r="B1003" s="16" t="s">
        <v>59</v>
      </c>
      <c r="C1003" s="16" t="s">
        <v>72</v>
      </c>
      <c r="D1003" s="16" t="s">
        <v>1027</v>
      </c>
      <c r="E1003" s="30">
        <v>75.0</v>
      </c>
      <c r="F1003" s="16">
        <v>5.0</v>
      </c>
      <c r="G1003" s="16">
        <v>250.0</v>
      </c>
      <c r="H1003" s="31" t="s">
        <v>71</v>
      </c>
    </row>
    <row r="1004" ht="15.75" customHeight="1">
      <c r="B1004" s="16" t="s">
        <v>59</v>
      </c>
      <c r="C1004" s="16" t="s">
        <v>72</v>
      </c>
      <c r="D1004" s="16" t="s">
        <v>1028</v>
      </c>
      <c r="E1004" s="30">
        <v>75.0</v>
      </c>
      <c r="F1004" s="16">
        <v>5.0</v>
      </c>
      <c r="G1004" s="16">
        <v>120.0</v>
      </c>
      <c r="H1004" s="31" t="s">
        <v>71</v>
      </c>
    </row>
    <row r="1005" ht="15.75" customHeight="1">
      <c r="B1005" s="16" t="s">
        <v>59</v>
      </c>
      <c r="C1005" s="16" t="s">
        <v>72</v>
      </c>
      <c r="D1005" s="16" t="s">
        <v>344</v>
      </c>
      <c r="E1005" s="30">
        <v>75.0</v>
      </c>
      <c r="F1005" s="16">
        <v>4.7</v>
      </c>
      <c r="G1005" s="16">
        <v>300.0</v>
      </c>
      <c r="H1005" s="31" t="s">
        <v>71</v>
      </c>
    </row>
    <row r="1006" ht="15.75" customHeight="1">
      <c r="B1006" s="16" t="s">
        <v>59</v>
      </c>
      <c r="C1006" s="16" t="s">
        <v>142</v>
      </c>
      <c r="D1006" s="16" t="s">
        <v>1029</v>
      </c>
      <c r="E1006" s="30">
        <v>75.0</v>
      </c>
      <c r="F1006" s="16">
        <v>0.0</v>
      </c>
      <c r="G1006" s="16">
        <v>300.0</v>
      </c>
      <c r="H1006" s="31" t="s">
        <v>71</v>
      </c>
    </row>
    <row r="1007" ht="15.75" customHeight="1">
      <c r="B1007" s="16" t="s">
        <v>59</v>
      </c>
      <c r="C1007" s="16" t="s">
        <v>72</v>
      </c>
      <c r="D1007" s="16" t="s">
        <v>1030</v>
      </c>
      <c r="E1007" s="30">
        <v>77.5</v>
      </c>
      <c r="F1007" s="16">
        <v>4.7</v>
      </c>
      <c r="G1007" s="16">
        <v>200.0</v>
      </c>
      <c r="H1007" s="31" t="s">
        <v>71</v>
      </c>
    </row>
    <row r="1008" ht="15.75" customHeight="1">
      <c r="B1008" s="16" t="s">
        <v>59</v>
      </c>
      <c r="C1008" s="16" t="s">
        <v>72</v>
      </c>
      <c r="D1008" s="16" t="s">
        <v>1031</v>
      </c>
      <c r="E1008" s="30">
        <v>79.0</v>
      </c>
      <c r="F1008" s="16">
        <v>5.0</v>
      </c>
      <c r="G1008" s="16">
        <v>320.0</v>
      </c>
      <c r="H1008" s="31" t="s">
        <v>71</v>
      </c>
    </row>
    <row r="1009" ht="15.75" customHeight="1">
      <c r="B1009" s="16" t="s">
        <v>59</v>
      </c>
      <c r="C1009" s="16" t="s">
        <v>72</v>
      </c>
      <c r="D1009" s="16" t="s">
        <v>1032</v>
      </c>
      <c r="E1009" s="30">
        <v>80.0</v>
      </c>
      <c r="F1009" s="16">
        <v>4.9</v>
      </c>
      <c r="G1009" s="16">
        <v>200.0</v>
      </c>
      <c r="H1009" s="31" t="s">
        <v>71</v>
      </c>
    </row>
    <row r="1010" ht="15.75" customHeight="1">
      <c r="B1010" s="16" t="s">
        <v>59</v>
      </c>
      <c r="C1010" s="16" t="s">
        <v>72</v>
      </c>
      <c r="D1010" s="16" t="s">
        <v>1033</v>
      </c>
      <c r="E1010" s="30">
        <v>80.0</v>
      </c>
      <c r="F1010" s="16">
        <v>0.0</v>
      </c>
      <c r="G1010" s="16">
        <v>150.0</v>
      </c>
      <c r="H1010" s="31" t="s">
        <v>71</v>
      </c>
    </row>
    <row r="1011" ht="15.75" customHeight="1">
      <c r="B1011" s="16" t="s">
        <v>59</v>
      </c>
      <c r="C1011" s="16" t="s">
        <v>77</v>
      </c>
      <c r="D1011" s="16" t="s">
        <v>1034</v>
      </c>
      <c r="E1011" s="30">
        <v>80.0</v>
      </c>
      <c r="F1011" s="16">
        <v>0.0</v>
      </c>
      <c r="G1011" s="16">
        <v>60.0</v>
      </c>
      <c r="H1011" s="31" t="s">
        <v>71</v>
      </c>
    </row>
    <row r="1012" ht="15.75" customHeight="1">
      <c r="B1012" s="16" t="s">
        <v>59</v>
      </c>
      <c r="C1012" s="16" t="s">
        <v>142</v>
      </c>
      <c r="D1012" s="16" t="s">
        <v>1035</v>
      </c>
      <c r="E1012" s="30">
        <v>80.0</v>
      </c>
      <c r="F1012" s="16">
        <v>5.0</v>
      </c>
      <c r="G1012" s="16">
        <v>130.0</v>
      </c>
      <c r="H1012" s="31" t="s">
        <v>71</v>
      </c>
    </row>
    <row r="1013" ht="15.75" customHeight="1">
      <c r="B1013" s="16" t="s">
        <v>59</v>
      </c>
      <c r="C1013" s="16" t="s">
        <v>142</v>
      </c>
      <c r="D1013" s="16" t="s">
        <v>1036</v>
      </c>
      <c r="E1013" s="30">
        <v>80.0</v>
      </c>
      <c r="F1013" s="16">
        <v>0.0</v>
      </c>
      <c r="G1013" s="16">
        <v>150.0</v>
      </c>
      <c r="H1013" s="31" t="s">
        <v>71</v>
      </c>
    </row>
    <row r="1014" ht="15.75" customHeight="1">
      <c r="B1014" s="16" t="s">
        <v>59</v>
      </c>
      <c r="C1014" s="16" t="s">
        <v>72</v>
      </c>
      <c r="D1014" s="16" t="s">
        <v>1037</v>
      </c>
      <c r="E1014" s="30">
        <v>80.5</v>
      </c>
      <c r="F1014" s="16">
        <v>0.0</v>
      </c>
      <c r="G1014" s="16">
        <v>370.0</v>
      </c>
      <c r="H1014" s="31" t="s">
        <v>71</v>
      </c>
    </row>
    <row r="1015" ht="15.75" customHeight="1">
      <c r="B1015" s="16" t="s">
        <v>59</v>
      </c>
      <c r="C1015" s="16" t="s">
        <v>72</v>
      </c>
      <c r="D1015" s="16" t="s">
        <v>1038</v>
      </c>
      <c r="E1015" s="30">
        <v>81.5</v>
      </c>
      <c r="F1015" s="16">
        <v>4.8</v>
      </c>
      <c r="G1015" s="16">
        <v>700.0</v>
      </c>
      <c r="H1015" s="31" t="s">
        <v>71</v>
      </c>
    </row>
    <row r="1016" ht="15.75" customHeight="1">
      <c r="B1016" s="16" t="s">
        <v>59</v>
      </c>
      <c r="C1016" s="16" t="s">
        <v>72</v>
      </c>
      <c r="D1016" s="16" t="s">
        <v>1039</v>
      </c>
      <c r="E1016" s="30">
        <v>82.0</v>
      </c>
      <c r="F1016" s="16">
        <v>4.9</v>
      </c>
      <c r="G1016" s="16">
        <v>220.0</v>
      </c>
      <c r="H1016" s="31" t="s">
        <v>71</v>
      </c>
    </row>
    <row r="1017" ht="15.75" customHeight="1">
      <c r="B1017" s="16" t="s">
        <v>59</v>
      </c>
      <c r="C1017" s="16" t="s">
        <v>72</v>
      </c>
      <c r="D1017" s="16" t="s">
        <v>1040</v>
      </c>
      <c r="E1017" s="30">
        <v>82.5</v>
      </c>
      <c r="F1017" s="16">
        <v>0.0</v>
      </c>
      <c r="G1017" s="16">
        <v>400.0</v>
      </c>
      <c r="H1017" s="31" t="s">
        <v>71</v>
      </c>
    </row>
    <row r="1018" ht="15.75" customHeight="1">
      <c r="B1018" s="16" t="s">
        <v>59</v>
      </c>
      <c r="C1018" s="16" t="s">
        <v>72</v>
      </c>
      <c r="D1018" s="16" t="s">
        <v>1041</v>
      </c>
      <c r="E1018" s="30">
        <v>83.0</v>
      </c>
      <c r="F1018" s="16">
        <v>5.0</v>
      </c>
      <c r="G1018" s="16">
        <v>320.0</v>
      </c>
      <c r="H1018" s="31" t="s">
        <v>71</v>
      </c>
    </row>
    <row r="1019" ht="15.75" customHeight="1">
      <c r="B1019" s="16" t="s">
        <v>59</v>
      </c>
      <c r="C1019" s="16" t="s">
        <v>72</v>
      </c>
      <c r="D1019" s="16" t="s">
        <v>1042</v>
      </c>
      <c r="E1019" s="30">
        <v>83.5</v>
      </c>
      <c r="F1019" s="16">
        <v>4.9</v>
      </c>
      <c r="G1019" s="16">
        <v>140.0</v>
      </c>
      <c r="H1019" s="31" t="s">
        <v>71</v>
      </c>
    </row>
    <row r="1020" ht="15.75" customHeight="1">
      <c r="B1020" s="16" t="s">
        <v>59</v>
      </c>
      <c r="C1020" s="16" t="s">
        <v>72</v>
      </c>
      <c r="D1020" s="16" t="s">
        <v>673</v>
      </c>
      <c r="E1020" s="30">
        <v>84.0</v>
      </c>
      <c r="F1020" s="16">
        <v>5.0</v>
      </c>
      <c r="G1020" s="16">
        <v>250.0</v>
      </c>
      <c r="H1020" s="31" t="s">
        <v>71</v>
      </c>
    </row>
    <row r="1021" ht="15.75" customHeight="1">
      <c r="B1021" s="16" t="s">
        <v>59</v>
      </c>
      <c r="C1021" s="16" t="s">
        <v>77</v>
      </c>
      <c r="D1021" s="16" t="s">
        <v>1043</v>
      </c>
      <c r="E1021" s="30">
        <v>90.0</v>
      </c>
      <c r="F1021" s="16">
        <v>0.0</v>
      </c>
      <c r="G1021" s="16">
        <v>180.0</v>
      </c>
      <c r="H1021" s="31" t="s">
        <v>71</v>
      </c>
    </row>
    <row r="1022" ht="15.75" customHeight="1">
      <c r="B1022" s="16" t="s">
        <v>59</v>
      </c>
      <c r="C1022" s="16" t="s">
        <v>72</v>
      </c>
      <c r="D1022" s="16" t="s">
        <v>1044</v>
      </c>
      <c r="E1022" s="30">
        <v>91.0</v>
      </c>
      <c r="F1022" s="16">
        <v>4.8</v>
      </c>
      <c r="G1022" s="16">
        <v>180.0</v>
      </c>
      <c r="H1022" s="31" t="s">
        <v>71</v>
      </c>
    </row>
    <row r="1023" ht="15.75" customHeight="1">
      <c r="B1023" s="16" t="s">
        <v>59</v>
      </c>
      <c r="C1023" s="16" t="s">
        <v>72</v>
      </c>
      <c r="D1023" s="16" t="s">
        <v>1045</v>
      </c>
      <c r="E1023" s="30">
        <v>95.0</v>
      </c>
      <c r="F1023" s="16">
        <v>4.9</v>
      </c>
      <c r="G1023" s="16">
        <v>600.0</v>
      </c>
      <c r="H1023" s="31" t="s">
        <v>71</v>
      </c>
    </row>
    <row r="1024" ht="15.75" customHeight="1">
      <c r="B1024" s="16" t="s">
        <v>59</v>
      </c>
      <c r="C1024" s="16" t="s">
        <v>72</v>
      </c>
      <c r="D1024" s="16" t="s">
        <v>1046</v>
      </c>
      <c r="E1024" s="30">
        <v>95.0</v>
      </c>
      <c r="F1024" s="16">
        <v>4.7</v>
      </c>
      <c r="G1024" s="16">
        <v>300.0</v>
      </c>
      <c r="H1024" s="31" t="s">
        <v>71</v>
      </c>
    </row>
    <row r="1025" ht="15.75" customHeight="1">
      <c r="B1025" s="16" t="s">
        <v>59</v>
      </c>
      <c r="C1025" s="16" t="s">
        <v>142</v>
      </c>
      <c r="D1025" s="16" t="s">
        <v>1047</v>
      </c>
      <c r="E1025" s="30">
        <v>100.0</v>
      </c>
      <c r="F1025" s="16">
        <v>0.0</v>
      </c>
      <c r="G1025" s="16">
        <v>120.0</v>
      </c>
      <c r="H1025" s="31" t="s">
        <v>71</v>
      </c>
    </row>
    <row r="1026" ht="15.75" customHeight="1">
      <c r="B1026" s="16" t="s">
        <v>59</v>
      </c>
      <c r="C1026" s="16" t="s">
        <v>72</v>
      </c>
      <c r="D1026" s="16" t="s">
        <v>1048</v>
      </c>
      <c r="E1026" s="30">
        <v>110.0</v>
      </c>
      <c r="F1026" s="16">
        <v>5.0</v>
      </c>
      <c r="G1026" s="16">
        <v>150.0</v>
      </c>
      <c r="H1026" s="31" t="s">
        <v>71</v>
      </c>
    </row>
    <row r="1027" ht="15.75" customHeight="1">
      <c r="B1027" s="16" t="s">
        <v>59</v>
      </c>
      <c r="C1027" s="16" t="s">
        <v>72</v>
      </c>
      <c r="D1027" s="16" t="s">
        <v>1049</v>
      </c>
      <c r="E1027" s="30">
        <v>110.0</v>
      </c>
      <c r="F1027" s="16">
        <v>4.8</v>
      </c>
      <c r="G1027" s="16">
        <v>300.0</v>
      </c>
      <c r="H1027" s="31" t="s">
        <v>71</v>
      </c>
    </row>
    <row r="1028" ht="15.75" customHeight="1">
      <c r="B1028" s="16" t="s">
        <v>59</v>
      </c>
      <c r="C1028" s="16" t="s">
        <v>72</v>
      </c>
      <c r="D1028" s="16" t="s">
        <v>1050</v>
      </c>
      <c r="E1028" s="30">
        <v>140.0</v>
      </c>
      <c r="F1028" s="16">
        <v>0.0</v>
      </c>
      <c r="G1028" s="16">
        <v>50.0</v>
      </c>
      <c r="H1028" s="31" t="s">
        <v>71</v>
      </c>
    </row>
    <row r="1029" ht="15.75" customHeight="1">
      <c r="B1029" s="16" t="s">
        <v>60</v>
      </c>
      <c r="C1029" s="16" t="s">
        <v>77</v>
      </c>
      <c r="D1029" s="16" t="s">
        <v>1051</v>
      </c>
      <c r="E1029" s="30">
        <v>40.0</v>
      </c>
      <c r="F1029" s="16">
        <v>0.0</v>
      </c>
      <c r="G1029" s="16">
        <v>70.0</v>
      </c>
      <c r="H1029" s="31" t="s">
        <v>71</v>
      </c>
    </row>
    <row r="1030" ht="15.75" customHeight="1">
      <c r="B1030" s="16" t="s">
        <v>60</v>
      </c>
      <c r="C1030" s="16" t="s">
        <v>72</v>
      </c>
      <c r="D1030" s="16" t="s">
        <v>1052</v>
      </c>
      <c r="E1030" s="30">
        <v>50.0</v>
      </c>
      <c r="F1030" s="16">
        <v>0.0</v>
      </c>
      <c r="G1030" s="16">
        <v>400.0</v>
      </c>
      <c r="H1030" s="31" t="s">
        <v>71</v>
      </c>
    </row>
    <row r="1031" ht="15.75" customHeight="1">
      <c r="B1031" s="16" t="s">
        <v>60</v>
      </c>
      <c r="C1031" s="16" t="s">
        <v>72</v>
      </c>
      <c r="D1031" s="16" t="s">
        <v>1053</v>
      </c>
      <c r="E1031" s="30">
        <v>60.0</v>
      </c>
      <c r="F1031" s="16">
        <v>4.9</v>
      </c>
      <c r="G1031" s="16">
        <v>400.0</v>
      </c>
      <c r="H1031" s="31" t="s">
        <v>71</v>
      </c>
    </row>
    <row r="1032" ht="15.75" customHeight="1">
      <c r="B1032" s="16" t="s">
        <v>60</v>
      </c>
      <c r="C1032" s="16" t="s">
        <v>77</v>
      </c>
      <c r="D1032" s="16" t="s">
        <v>1054</v>
      </c>
      <c r="E1032" s="30">
        <v>60.0</v>
      </c>
      <c r="F1032" s="16">
        <v>0.0</v>
      </c>
      <c r="G1032" s="16">
        <v>250.0</v>
      </c>
      <c r="H1032" s="31" t="s">
        <v>71</v>
      </c>
    </row>
    <row r="1033" ht="15.75" customHeight="1">
      <c r="B1033" s="16" t="s">
        <v>60</v>
      </c>
      <c r="C1033" s="16" t="s">
        <v>77</v>
      </c>
      <c r="D1033" s="16" t="s">
        <v>1055</v>
      </c>
      <c r="E1033" s="30">
        <v>60.0</v>
      </c>
      <c r="F1033" s="16">
        <v>0.0</v>
      </c>
      <c r="G1033" s="16">
        <v>250.0</v>
      </c>
      <c r="H1033" s="31" t="s">
        <v>71</v>
      </c>
    </row>
    <row r="1034" ht="15.75" customHeight="1">
      <c r="B1034" s="16" t="s">
        <v>60</v>
      </c>
      <c r="C1034" s="16" t="s">
        <v>72</v>
      </c>
      <c r="D1034" s="16" t="s">
        <v>1056</v>
      </c>
      <c r="E1034" s="30">
        <v>65.0</v>
      </c>
      <c r="F1034" s="16">
        <v>5.0</v>
      </c>
      <c r="G1034" s="16">
        <v>250.0</v>
      </c>
      <c r="H1034" s="31" t="s">
        <v>71</v>
      </c>
    </row>
    <row r="1035" ht="15.75" customHeight="1">
      <c r="B1035" s="16" t="s">
        <v>60</v>
      </c>
      <c r="C1035" s="16" t="s">
        <v>72</v>
      </c>
      <c r="D1035" s="16" t="s">
        <v>1057</v>
      </c>
      <c r="E1035" s="30">
        <v>69.0</v>
      </c>
      <c r="F1035" s="16">
        <v>4.9</v>
      </c>
      <c r="G1035" s="16">
        <v>200.0</v>
      </c>
      <c r="H1035" s="31" t="s">
        <v>71</v>
      </c>
    </row>
    <row r="1036" ht="15.75" customHeight="1">
      <c r="B1036" s="16" t="s">
        <v>60</v>
      </c>
      <c r="C1036" s="16" t="s">
        <v>72</v>
      </c>
      <c r="D1036" s="16" t="s">
        <v>1058</v>
      </c>
      <c r="E1036" s="30">
        <v>70.0</v>
      </c>
      <c r="F1036" s="16">
        <v>5.0</v>
      </c>
      <c r="G1036" s="16">
        <v>220.0</v>
      </c>
      <c r="H1036" s="31" t="s">
        <v>71</v>
      </c>
    </row>
    <row r="1037" ht="15.75" customHeight="1">
      <c r="B1037" s="16" t="s">
        <v>60</v>
      </c>
      <c r="C1037" s="16" t="s">
        <v>72</v>
      </c>
      <c r="D1037" s="16" t="s">
        <v>1059</v>
      </c>
      <c r="E1037" s="30">
        <v>70.0</v>
      </c>
      <c r="F1037" s="16">
        <v>5.0</v>
      </c>
      <c r="G1037" s="16">
        <v>450.0</v>
      </c>
      <c r="H1037" s="31" t="s">
        <v>71</v>
      </c>
    </row>
    <row r="1038" ht="15.75" customHeight="1">
      <c r="B1038" s="16" t="s">
        <v>60</v>
      </c>
      <c r="C1038" s="16" t="s">
        <v>72</v>
      </c>
      <c r="D1038" s="16" t="s">
        <v>1060</v>
      </c>
      <c r="E1038" s="30">
        <v>75.0</v>
      </c>
      <c r="F1038" s="16">
        <v>4.8</v>
      </c>
      <c r="G1038" s="16">
        <v>250.0</v>
      </c>
      <c r="H1038" s="31" t="s">
        <v>71</v>
      </c>
    </row>
    <row r="1039" ht="15.75" customHeight="1">
      <c r="B1039" s="16" t="s">
        <v>60</v>
      </c>
      <c r="C1039" s="16" t="s">
        <v>72</v>
      </c>
      <c r="D1039" s="16" t="s">
        <v>1061</v>
      </c>
      <c r="E1039" s="30">
        <v>75.0</v>
      </c>
      <c r="F1039" s="16">
        <v>0.0</v>
      </c>
      <c r="G1039" s="16">
        <v>200.0</v>
      </c>
      <c r="H1039" s="31" t="s">
        <v>71</v>
      </c>
    </row>
    <row r="1040" ht="15.75" customHeight="1">
      <c r="B1040" s="16" t="s">
        <v>60</v>
      </c>
      <c r="C1040" s="16" t="s">
        <v>72</v>
      </c>
      <c r="D1040" s="16" t="s">
        <v>1062</v>
      </c>
      <c r="E1040" s="30">
        <v>80.0</v>
      </c>
      <c r="F1040" s="16">
        <v>4.9</v>
      </c>
      <c r="G1040" s="16">
        <v>500.0</v>
      </c>
      <c r="H1040" s="31" t="s">
        <v>71</v>
      </c>
    </row>
    <row r="1041" ht="15.75" customHeight="1">
      <c r="B1041" s="16" t="s">
        <v>60</v>
      </c>
      <c r="C1041" s="16" t="s">
        <v>72</v>
      </c>
      <c r="D1041" s="16" t="s">
        <v>194</v>
      </c>
      <c r="E1041" s="30">
        <v>80.0</v>
      </c>
      <c r="F1041" s="16">
        <v>4.8</v>
      </c>
      <c r="G1041" s="16">
        <v>300.0</v>
      </c>
      <c r="H1041" s="31" t="s">
        <v>71</v>
      </c>
    </row>
    <row r="1042" ht="15.75" customHeight="1">
      <c r="B1042" s="16" t="s">
        <v>60</v>
      </c>
      <c r="C1042" s="16" t="s">
        <v>72</v>
      </c>
      <c r="D1042" s="16" t="s">
        <v>1063</v>
      </c>
      <c r="E1042" s="30">
        <v>80.0</v>
      </c>
      <c r="F1042" s="16">
        <v>4.9</v>
      </c>
      <c r="G1042" s="16">
        <v>350.0</v>
      </c>
      <c r="H1042" s="31" t="s">
        <v>71</v>
      </c>
    </row>
    <row r="1043" ht="15.75" customHeight="1">
      <c r="B1043" s="16" t="s">
        <v>60</v>
      </c>
      <c r="C1043" s="16" t="s">
        <v>72</v>
      </c>
      <c r="D1043" s="16" t="s">
        <v>1064</v>
      </c>
      <c r="E1043" s="30">
        <v>80.0</v>
      </c>
      <c r="F1043" s="16">
        <v>0.0</v>
      </c>
      <c r="G1043" s="16">
        <v>500.0</v>
      </c>
      <c r="H1043" s="31" t="s">
        <v>71</v>
      </c>
    </row>
    <row r="1044" ht="15.75" customHeight="1">
      <c r="B1044" s="16" t="s">
        <v>60</v>
      </c>
      <c r="C1044" s="16" t="s">
        <v>72</v>
      </c>
      <c r="D1044" s="16" t="s">
        <v>1065</v>
      </c>
      <c r="E1044" s="30">
        <v>80.0</v>
      </c>
      <c r="F1044" s="16">
        <v>0.0</v>
      </c>
      <c r="G1044" s="16">
        <v>220.0</v>
      </c>
      <c r="H1044" s="31" t="s">
        <v>71</v>
      </c>
    </row>
    <row r="1045" ht="15.75" customHeight="1">
      <c r="B1045" s="16" t="s">
        <v>60</v>
      </c>
      <c r="C1045" s="16" t="s">
        <v>72</v>
      </c>
      <c r="D1045" s="16" t="s">
        <v>1066</v>
      </c>
      <c r="E1045" s="30">
        <v>85.0</v>
      </c>
      <c r="F1045" s="16">
        <v>0.0</v>
      </c>
      <c r="G1045" s="16">
        <v>400.0</v>
      </c>
      <c r="H1045" s="31" t="s">
        <v>71</v>
      </c>
    </row>
    <row r="1046" ht="15.75" customHeight="1">
      <c r="B1046" s="16" t="s">
        <v>60</v>
      </c>
      <c r="C1046" s="16" t="s">
        <v>72</v>
      </c>
      <c r="D1046" s="16" t="s">
        <v>1067</v>
      </c>
      <c r="E1046" s="30">
        <v>89.0</v>
      </c>
      <c r="F1046" s="16">
        <v>5.0</v>
      </c>
      <c r="G1046" s="16">
        <v>250.0</v>
      </c>
      <c r="H1046" s="31" t="s">
        <v>71</v>
      </c>
    </row>
    <row r="1047" ht="15.75" customHeight="1">
      <c r="B1047" s="16" t="s">
        <v>60</v>
      </c>
      <c r="C1047" s="16" t="s">
        <v>72</v>
      </c>
      <c r="D1047" s="16" t="s">
        <v>1068</v>
      </c>
      <c r="E1047" s="30">
        <v>90.0</v>
      </c>
      <c r="F1047" s="16">
        <v>4.9</v>
      </c>
      <c r="G1047" s="16">
        <v>350.0</v>
      </c>
      <c r="H1047" s="31" t="s">
        <v>71</v>
      </c>
    </row>
    <row r="1048" ht="15.75" customHeight="1">
      <c r="B1048" s="16" t="s">
        <v>60</v>
      </c>
      <c r="C1048" s="16" t="s">
        <v>72</v>
      </c>
      <c r="D1048" s="16" t="s">
        <v>1069</v>
      </c>
      <c r="E1048" s="30">
        <v>90.0</v>
      </c>
      <c r="F1048" s="16">
        <v>5.0</v>
      </c>
      <c r="G1048" s="16">
        <v>1000.0</v>
      </c>
      <c r="H1048" s="31" t="s">
        <v>71</v>
      </c>
    </row>
    <row r="1049" ht="15.75" customHeight="1">
      <c r="B1049" s="16" t="s">
        <v>60</v>
      </c>
      <c r="C1049" s="16" t="s">
        <v>72</v>
      </c>
      <c r="D1049" s="16" t="s">
        <v>1070</v>
      </c>
      <c r="E1049" s="30">
        <v>90.0</v>
      </c>
      <c r="F1049" s="16">
        <v>5.0</v>
      </c>
      <c r="G1049" s="16">
        <v>350.0</v>
      </c>
      <c r="H1049" s="31" t="s">
        <v>71</v>
      </c>
    </row>
    <row r="1050" ht="15.75" customHeight="1">
      <c r="B1050" s="16" t="s">
        <v>60</v>
      </c>
      <c r="C1050" s="16" t="s">
        <v>72</v>
      </c>
      <c r="D1050" s="16" t="s">
        <v>1071</v>
      </c>
      <c r="E1050" s="30">
        <v>92.0</v>
      </c>
      <c r="F1050" s="16">
        <v>0.0</v>
      </c>
      <c r="G1050" s="16">
        <v>500.0</v>
      </c>
      <c r="H1050" s="31" t="s">
        <v>71</v>
      </c>
    </row>
    <row r="1051" ht="15.75" customHeight="1">
      <c r="B1051" s="16" t="s">
        <v>60</v>
      </c>
      <c r="C1051" s="16" t="s">
        <v>72</v>
      </c>
      <c r="D1051" s="16" t="s">
        <v>1072</v>
      </c>
      <c r="E1051" s="30">
        <v>95.0</v>
      </c>
      <c r="F1051" s="16">
        <v>4.9</v>
      </c>
      <c r="G1051" s="16">
        <v>500.0</v>
      </c>
      <c r="H1051" s="31" t="s">
        <v>71</v>
      </c>
    </row>
    <row r="1052" ht="15.75" customHeight="1">
      <c r="B1052" s="16" t="s">
        <v>60</v>
      </c>
      <c r="C1052" s="16" t="s">
        <v>72</v>
      </c>
      <c r="D1052" s="16" t="s">
        <v>1073</v>
      </c>
      <c r="E1052" s="30">
        <v>95.0</v>
      </c>
      <c r="F1052" s="16">
        <v>4.8</v>
      </c>
      <c r="G1052" s="16">
        <v>700.0</v>
      </c>
      <c r="H1052" s="31" t="s">
        <v>71</v>
      </c>
    </row>
    <row r="1053" ht="15.75" customHeight="1">
      <c r="B1053" s="16" t="s">
        <v>60</v>
      </c>
      <c r="C1053" s="16" t="s">
        <v>77</v>
      </c>
      <c r="D1053" s="16" t="s">
        <v>1074</v>
      </c>
      <c r="E1053" s="30">
        <v>95.0</v>
      </c>
      <c r="F1053" s="16">
        <v>5.0</v>
      </c>
      <c r="G1053" s="16">
        <v>55.0</v>
      </c>
      <c r="H1053" s="31" t="s">
        <v>71</v>
      </c>
    </row>
    <row r="1054" ht="15.75" customHeight="1">
      <c r="B1054" s="16" t="s">
        <v>60</v>
      </c>
      <c r="C1054" s="16" t="s">
        <v>77</v>
      </c>
      <c r="D1054" s="16" t="s">
        <v>1075</v>
      </c>
      <c r="E1054" s="30">
        <v>95.0</v>
      </c>
      <c r="F1054" s="16">
        <v>0.0</v>
      </c>
      <c r="G1054" s="16">
        <v>110.0</v>
      </c>
      <c r="H1054" s="31" t="s">
        <v>71</v>
      </c>
    </row>
    <row r="1055" ht="15.75" customHeight="1">
      <c r="B1055" s="16" t="s">
        <v>60</v>
      </c>
      <c r="C1055" s="16" t="s">
        <v>72</v>
      </c>
      <c r="D1055" s="16" t="s">
        <v>1076</v>
      </c>
      <c r="E1055" s="30">
        <v>98.0</v>
      </c>
      <c r="F1055" s="16">
        <v>4.9</v>
      </c>
      <c r="G1055" s="16">
        <v>280.0</v>
      </c>
      <c r="H1055" s="31" t="s">
        <v>71</v>
      </c>
    </row>
    <row r="1056" ht="15.75" customHeight="1">
      <c r="B1056" s="16" t="s">
        <v>60</v>
      </c>
      <c r="C1056" s="16" t="s">
        <v>72</v>
      </c>
      <c r="D1056" s="16" t="s">
        <v>1077</v>
      </c>
      <c r="E1056" s="30">
        <v>105.0</v>
      </c>
      <c r="F1056" s="16">
        <v>4.8</v>
      </c>
      <c r="G1056" s="16">
        <v>250.0</v>
      </c>
      <c r="H1056" s="31" t="s">
        <v>71</v>
      </c>
    </row>
    <row r="1057" ht="15.75" customHeight="1">
      <c r="B1057" s="16" t="s">
        <v>60</v>
      </c>
      <c r="C1057" s="16" t="s">
        <v>72</v>
      </c>
      <c r="D1057" s="16" t="s">
        <v>233</v>
      </c>
      <c r="E1057" s="30">
        <v>115.0</v>
      </c>
      <c r="F1057" s="16">
        <v>4.9</v>
      </c>
      <c r="G1057" s="16">
        <v>250.0</v>
      </c>
      <c r="H1057" s="31" t="s">
        <v>71</v>
      </c>
    </row>
    <row r="1058" ht="15.75" customHeight="1">
      <c r="B1058" s="16" t="s">
        <v>60</v>
      </c>
      <c r="C1058" s="16" t="s">
        <v>72</v>
      </c>
      <c r="D1058" s="16" t="s">
        <v>1078</v>
      </c>
      <c r="E1058" s="30">
        <v>125.0</v>
      </c>
      <c r="F1058" s="16">
        <v>0.0</v>
      </c>
      <c r="G1058" s="16">
        <v>100.0</v>
      </c>
      <c r="H1058" s="31" t="s">
        <v>71</v>
      </c>
    </row>
    <row r="1059" ht="15.75" customHeight="1">
      <c r="B1059" s="16" t="s">
        <v>60</v>
      </c>
      <c r="C1059" s="16" t="s">
        <v>72</v>
      </c>
      <c r="D1059" s="16" t="s">
        <v>1079</v>
      </c>
      <c r="E1059" s="30">
        <v>125.0</v>
      </c>
      <c r="F1059" s="16">
        <v>5.0</v>
      </c>
      <c r="G1059" s="16">
        <v>450.0</v>
      </c>
      <c r="H1059" s="31" t="s">
        <v>71</v>
      </c>
    </row>
    <row r="1060" ht="15.75" customHeight="1">
      <c r="B1060" s="16" t="s">
        <v>60</v>
      </c>
      <c r="C1060" s="16" t="s">
        <v>72</v>
      </c>
      <c r="D1060" s="16" t="s">
        <v>1080</v>
      </c>
      <c r="E1060" s="30">
        <v>130.0</v>
      </c>
      <c r="F1060" s="16">
        <v>0.0</v>
      </c>
      <c r="G1060" s="16">
        <v>700.0</v>
      </c>
      <c r="H1060" s="31" t="s">
        <v>71</v>
      </c>
    </row>
    <row r="1061" ht="15.75" customHeight="1">
      <c r="B1061" s="16" t="s">
        <v>60</v>
      </c>
      <c r="C1061" s="16" t="s">
        <v>77</v>
      </c>
      <c r="D1061" s="16" t="s">
        <v>1081</v>
      </c>
      <c r="E1061" s="30">
        <v>205.0</v>
      </c>
      <c r="F1061" s="16">
        <v>0.0</v>
      </c>
      <c r="G1061" s="16">
        <v>0.0</v>
      </c>
      <c r="H1061" s="31" t="s">
        <v>71</v>
      </c>
    </row>
    <row r="1062" ht="15.75" customHeight="1">
      <c r="B1062" s="16" t="s">
        <v>61</v>
      </c>
      <c r="C1062" s="16" t="s">
        <v>77</v>
      </c>
      <c r="D1062" s="16" t="s">
        <v>1082</v>
      </c>
      <c r="E1062" s="30">
        <v>26.0</v>
      </c>
      <c r="F1062" s="16">
        <v>5.0</v>
      </c>
      <c r="G1062" s="16">
        <v>200.0</v>
      </c>
      <c r="H1062" s="31" t="s">
        <v>71</v>
      </c>
    </row>
    <row r="1063" ht="15.75" customHeight="1">
      <c r="B1063" s="16" t="s">
        <v>61</v>
      </c>
      <c r="C1063" s="16" t="s">
        <v>142</v>
      </c>
      <c r="D1063" s="16" t="s">
        <v>1083</v>
      </c>
      <c r="E1063" s="30">
        <v>38.0</v>
      </c>
      <c r="F1063" s="16">
        <v>0.0</v>
      </c>
      <c r="G1063" s="16">
        <v>60.0</v>
      </c>
      <c r="H1063" s="31" t="s">
        <v>71</v>
      </c>
    </row>
    <row r="1064" ht="15.75" customHeight="1">
      <c r="B1064" s="16" t="s">
        <v>61</v>
      </c>
      <c r="C1064" s="16" t="s">
        <v>72</v>
      </c>
      <c r="D1064" s="16" t="s">
        <v>1084</v>
      </c>
      <c r="E1064" s="30">
        <v>50.0</v>
      </c>
      <c r="F1064" s="16">
        <v>0.0</v>
      </c>
      <c r="G1064" s="16">
        <v>500.0</v>
      </c>
      <c r="H1064" s="31" t="s">
        <v>71</v>
      </c>
    </row>
    <row r="1065" ht="15.75" customHeight="1">
      <c r="B1065" s="16" t="s">
        <v>61</v>
      </c>
      <c r="C1065" s="16" t="s">
        <v>77</v>
      </c>
      <c r="D1065" s="16" t="s">
        <v>1085</v>
      </c>
      <c r="E1065" s="30">
        <v>59.0</v>
      </c>
      <c r="F1065" s="16">
        <v>5.0</v>
      </c>
      <c r="G1065" s="16">
        <v>500.0</v>
      </c>
      <c r="H1065" s="31" t="s">
        <v>71</v>
      </c>
    </row>
    <row r="1066" ht="15.75" customHeight="1">
      <c r="B1066" s="16" t="s">
        <v>61</v>
      </c>
      <c r="C1066" s="16" t="s">
        <v>142</v>
      </c>
      <c r="D1066" s="16" t="s">
        <v>1086</v>
      </c>
      <c r="E1066" s="30">
        <v>60.0</v>
      </c>
      <c r="F1066" s="16">
        <v>5.0</v>
      </c>
      <c r="G1066" s="16">
        <v>200.0</v>
      </c>
      <c r="H1066" s="31" t="s">
        <v>71</v>
      </c>
    </row>
    <row r="1067" ht="15.75" customHeight="1">
      <c r="B1067" s="16" t="s">
        <v>61</v>
      </c>
      <c r="C1067" s="16" t="s">
        <v>72</v>
      </c>
      <c r="D1067" s="16" t="s">
        <v>1087</v>
      </c>
      <c r="E1067" s="30">
        <v>65.0</v>
      </c>
      <c r="F1067" s="16">
        <v>0.0</v>
      </c>
      <c r="G1067" s="16">
        <v>170.0</v>
      </c>
      <c r="H1067" s="31" t="s">
        <v>71</v>
      </c>
    </row>
    <row r="1068" ht="15.75" customHeight="1">
      <c r="B1068" s="16" t="s">
        <v>61</v>
      </c>
      <c r="C1068" s="16" t="s">
        <v>72</v>
      </c>
      <c r="D1068" s="16" t="s">
        <v>1088</v>
      </c>
      <c r="E1068" s="30">
        <v>65.0</v>
      </c>
      <c r="F1068" s="16">
        <v>4.0</v>
      </c>
      <c r="G1068" s="16">
        <v>350.0</v>
      </c>
      <c r="H1068" s="31" t="s">
        <v>71</v>
      </c>
    </row>
    <row r="1069" ht="15.75" customHeight="1">
      <c r="B1069" s="16" t="s">
        <v>61</v>
      </c>
      <c r="C1069" s="16" t="s">
        <v>72</v>
      </c>
      <c r="D1069" s="16" t="s">
        <v>1089</v>
      </c>
      <c r="E1069" s="30">
        <v>65.0</v>
      </c>
      <c r="F1069" s="16">
        <v>4.8</v>
      </c>
      <c r="G1069" s="16">
        <v>250.0</v>
      </c>
      <c r="H1069" s="31" t="s">
        <v>71</v>
      </c>
    </row>
    <row r="1070" ht="15.75" customHeight="1">
      <c r="B1070" s="16" t="s">
        <v>61</v>
      </c>
      <c r="C1070" s="16" t="s">
        <v>72</v>
      </c>
      <c r="D1070" s="16" t="s">
        <v>1090</v>
      </c>
      <c r="E1070" s="30">
        <v>65.0</v>
      </c>
      <c r="F1070" s="16">
        <v>0.0</v>
      </c>
      <c r="G1070" s="16">
        <v>300.0</v>
      </c>
      <c r="H1070" s="31" t="s">
        <v>71</v>
      </c>
    </row>
    <row r="1071" ht="15.75" customHeight="1">
      <c r="B1071" s="16" t="s">
        <v>61</v>
      </c>
      <c r="C1071" s="16" t="s">
        <v>77</v>
      </c>
      <c r="D1071" s="16" t="s">
        <v>1091</v>
      </c>
      <c r="E1071" s="30">
        <v>69.9</v>
      </c>
      <c r="F1071" s="16">
        <v>5.0</v>
      </c>
      <c r="G1071" s="16">
        <v>250.0</v>
      </c>
      <c r="H1071" s="31" t="s">
        <v>71</v>
      </c>
    </row>
    <row r="1072" ht="15.75" customHeight="1">
      <c r="B1072" s="16" t="s">
        <v>61</v>
      </c>
      <c r="C1072" s="16" t="s">
        <v>72</v>
      </c>
      <c r="D1072" s="16" t="s">
        <v>1092</v>
      </c>
      <c r="E1072" s="30">
        <v>80.0</v>
      </c>
      <c r="F1072" s="16">
        <v>5.0</v>
      </c>
      <c r="G1072" s="16">
        <v>280.0</v>
      </c>
      <c r="H1072" s="31" t="s">
        <v>71</v>
      </c>
    </row>
    <row r="1073" ht="15.75" customHeight="1">
      <c r="B1073" s="16" t="s">
        <v>61</v>
      </c>
      <c r="C1073" s="16" t="s">
        <v>142</v>
      </c>
      <c r="D1073" s="16" t="s">
        <v>1093</v>
      </c>
      <c r="E1073" s="30">
        <v>80.0</v>
      </c>
      <c r="F1073" s="16">
        <v>0.0</v>
      </c>
      <c r="G1073" s="16">
        <v>120.0</v>
      </c>
      <c r="H1073" s="31" t="s">
        <v>71</v>
      </c>
    </row>
    <row r="1074" ht="15.75" customHeight="1">
      <c r="B1074" s="16" t="s">
        <v>61</v>
      </c>
      <c r="C1074" s="16" t="s">
        <v>72</v>
      </c>
      <c r="D1074" s="16" t="s">
        <v>1094</v>
      </c>
      <c r="E1074" s="30">
        <v>85.0</v>
      </c>
      <c r="F1074" s="16">
        <v>4.9</v>
      </c>
      <c r="G1074" s="16">
        <v>200.0</v>
      </c>
      <c r="H1074" s="31" t="s">
        <v>71</v>
      </c>
    </row>
    <row r="1075" ht="15.75" customHeight="1">
      <c r="B1075" s="16" t="s">
        <v>61</v>
      </c>
      <c r="C1075" s="16" t="s">
        <v>72</v>
      </c>
      <c r="D1075" s="16" t="s">
        <v>1095</v>
      </c>
      <c r="E1075" s="30">
        <v>90.0</v>
      </c>
      <c r="F1075" s="16">
        <v>4.9</v>
      </c>
      <c r="G1075" s="16">
        <v>180.0</v>
      </c>
      <c r="H1075" s="31" t="s">
        <v>71</v>
      </c>
    </row>
    <row r="1076" ht="15.75" customHeight="1">
      <c r="B1076" s="16" t="s">
        <v>61</v>
      </c>
      <c r="C1076" s="16" t="s">
        <v>72</v>
      </c>
      <c r="D1076" s="16" t="s">
        <v>1096</v>
      </c>
      <c r="E1076" s="30">
        <v>90.0</v>
      </c>
      <c r="F1076" s="16">
        <v>5.0</v>
      </c>
      <c r="G1076" s="16">
        <v>300.0</v>
      </c>
      <c r="H1076" s="31" t="s">
        <v>71</v>
      </c>
    </row>
    <row r="1077" ht="15.75" customHeight="1">
      <c r="B1077" s="16" t="s">
        <v>61</v>
      </c>
      <c r="C1077" s="16" t="s">
        <v>77</v>
      </c>
      <c r="D1077" s="16" t="s">
        <v>1097</v>
      </c>
      <c r="E1077" s="30">
        <v>90.0</v>
      </c>
      <c r="F1077" s="16">
        <v>0.0</v>
      </c>
      <c r="G1077" s="16">
        <v>100.0</v>
      </c>
      <c r="H1077" s="31" t="s">
        <v>71</v>
      </c>
    </row>
    <row r="1078" ht="15.75" customHeight="1">
      <c r="B1078" s="16" t="s">
        <v>61</v>
      </c>
      <c r="C1078" s="16" t="s">
        <v>72</v>
      </c>
      <c r="D1078" s="16" t="s">
        <v>247</v>
      </c>
      <c r="E1078" s="30">
        <v>94.0</v>
      </c>
      <c r="F1078" s="16">
        <v>4.9</v>
      </c>
      <c r="G1078" s="16">
        <v>400.0</v>
      </c>
      <c r="H1078" s="31" t="s">
        <v>71</v>
      </c>
    </row>
    <row r="1079" ht="15.75" customHeight="1">
      <c r="B1079" s="16" t="s">
        <v>61</v>
      </c>
      <c r="C1079" s="16" t="s">
        <v>72</v>
      </c>
      <c r="D1079" s="16" t="s">
        <v>1098</v>
      </c>
      <c r="E1079" s="30">
        <v>95.0</v>
      </c>
      <c r="F1079" s="16">
        <v>5.0</v>
      </c>
      <c r="G1079" s="16">
        <v>320.0</v>
      </c>
      <c r="H1079" s="31" t="s">
        <v>71</v>
      </c>
    </row>
    <row r="1080" ht="15.75" customHeight="1">
      <c r="B1080" s="16" t="s">
        <v>61</v>
      </c>
      <c r="C1080" s="16" t="s">
        <v>72</v>
      </c>
      <c r="D1080" s="16" t="s">
        <v>250</v>
      </c>
      <c r="E1080" s="30">
        <v>100.0</v>
      </c>
      <c r="F1080" s="16">
        <v>4.8</v>
      </c>
      <c r="G1080" s="16">
        <v>1200.0</v>
      </c>
      <c r="H1080" s="31" t="s">
        <v>71</v>
      </c>
    </row>
    <row r="1081" ht="15.75" customHeight="1">
      <c r="B1081" s="16" t="s">
        <v>61</v>
      </c>
      <c r="C1081" s="16" t="s">
        <v>72</v>
      </c>
      <c r="D1081" s="16" t="s">
        <v>1099</v>
      </c>
      <c r="E1081" s="30">
        <v>100.0</v>
      </c>
      <c r="F1081" s="16">
        <v>0.0</v>
      </c>
      <c r="G1081" s="16">
        <v>80.0</v>
      </c>
      <c r="H1081" s="31" t="s">
        <v>71</v>
      </c>
    </row>
    <row r="1082" ht="15.75" customHeight="1">
      <c r="B1082" s="16" t="s">
        <v>61</v>
      </c>
      <c r="C1082" s="16" t="s">
        <v>72</v>
      </c>
      <c r="D1082" s="16" t="s">
        <v>1100</v>
      </c>
      <c r="E1082" s="30">
        <v>110.0</v>
      </c>
      <c r="F1082" s="16">
        <v>4.8</v>
      </c>
      <c r="G1082" s="16">
        <v>300.0</v>
      </c>
      <c r="H1082" s="31" t="s">
        <v>71</v>
      </c>
    </row>
    <row r="1083" ht="15.75" customHeight="1">
      <c r="B1083" s="16" t="s">
        <v>61</v>
      </c>
      <c r="C1083" s="16" t="s">
        <v>72</v>
      </c>
      <c r="D1083" s="16" t="s">
        <v>1101</v>
      </c>
      <c r="E1083" s="30">
        <v>115.0</v>
      </c>
      <c r="F1083" s="16">
        <v>5.0</v>
      </c>
      <c r="G1083" s="16">
        <v>500.0</v>
      </c>
      <c r="H1083" s="31" t="s">
        <v>71</v>
      </c>
    </row>
    <row r="1084" ht="15.75" customHeight="1">
      <c r="B1084" s="16" t="s">
        <v>61</v>
      </c>
      <c r="C1084" s="16" t="s">
        <v>77</v>
      </c>
      <c r="D1084" s="16" t="s">
        <v>1102</v>
      </c>
      <c r="E1084" s="30">
        <v>120.0</v>
      </c>
      <c r="F1084" s="16">
        <v>0.0</v>
      </c>
      <c r="G1084" s="16">
        <v>120.0</v>
      </c>
      <c r="H1084" s="31" t="s">
        <v>71</v>
      </c>
    </row>
    <row r="1085" ht="15.75" customHeight="1">
      <c r="B1085" s="16" t="s">
        <v>61</v>
      </c>
      <c r="C1085" s="16" t="s">
        <v>72</v>
      </c>
      <c r="D1085" s="16" t="s">
        <v>1103</v>
      </c>
      <c r="E1085" s="30">
        <v>125.0</v>
      </c>
      <c r="F1085" s="16">
        <v>0.0</v>
      </c>
      <c r="G1085" s="16">
        <v>60.0</v>
      </c>
      <c r="H1085" s="31" t="s">
        <v>71</v>
      </c>
    </row>
    <row r="1086" ht="15.75" customHeight="1">
      <c r="B1086" s="16" t="s">
        <v>61</v>
      </c>
      <c r="C1086" s="16" t="s">
        <v>72</v>
      </c>
      <c r="D1086" s="16" t="s">
        <v>1104</v>
      </c>
      <c r="E1086" s="30">
        <v>125.0</v>
      </c>
      <c r="F1086" s="16">
        <v>0.0</v>
      </c>
      <c r="G1086" s="16">
        <v>90.0</v>
      </c>
      <c r="H1086" s="31" t="s">
        <v>71</v>
      </c>
    </row>
    <row r="1087" ht="15.75" customHeight="1">
      <c r="B1087" s="16" t="s">
        <v>61</v>
      </c>
      <c r="C1087" s="16" t="s">
        <v>72</v>
      </c>
      <c r="D1087" s="16" t="s">
        <v>1105</v>
      </c>
      <c r="E1087" s="30">
        <v>130.0</v>
      </c>
      <c r="F1087" s="16">
        <v>4.9</v>
      </c>
      <c r="G1087" s="16">
        <v>400.0</v>
      </c>
      <c r="H1087" s="31" t="s">
        <v>71</v>
      </c>
    </row>
    <row r="1088" ht="15.75" customHeight="1">
      <c r="B1088" s="16" t="s">
        <v>61</v>
      </c>
      <c r="C1088" s="16" t="s">
        <v>77</v>
      </c>
      <c r="D1088" s="16" t="s">
        <v>1106</v>
      </c>
      <c r="E1088" s="30">
        <v>150.0</v>
      </c>
      <c r="F1088" s="16">
        <v>4.9</v>
      </c>
      <c r="G1088" s="16">
        <v>400.0</v>
      </c>
      <c r="H1088" s="31" t="s">
        <v>71</v>
      </c>
    </row>
    <row r="1089" ht="15.75" customHeight="1">
      <c r="B1089" s="16" t="s">
        <v>61</v>
      </c>
      <c r="C1089" s="16" t="s">
        <v>72</v>
      </c>
      <c r="D1089" s="16" t="s">
        <v>1107</v>
      </c>
      <c r="E1089" s="30">
        <v>160.0</v>
      </c>
      <c r="F1089" s="16">
        <v>5.0</v>
      </c>
      <c r="G1089" s="16">
        <v>500.0</v>
      </c>
      <c r="H1089" s="31" t="s">
        <v>71</v>
      </c>
    </row>
    <row r="1090" ht="15.75" customHeight="1">
      <c r="B1090" s="16" t="s">
        <v>62</v>
      </c>
      <c r="C1090" s="16" t="s">
        <v>77</v>
      </c>
      <c r="D1090" s="16" t="s">
        <v>1108</v>
      </c>
      <c r="E1090" s="30">
        <v>20.0</v>
      </c>
      <c r="F1090" s="16">
        <v>0.0</v>
      </c>
      <c r="G1090" s="16">
        <v>75.0</v>
      </c>
      <c r="H1090" s="31" t="s">
        <v>71</v>
      </c>
    </row>
    <row r="1091" ht="15.75" customHeight="1">
      <c r="B1091" s="16" t="s">
        <v>62</v>
      </c>
      <c r="C1091" s="16" t="s">
        <v>72</v>
      </c>
      <c r="D1091" s="16" t="s">
        <v>1109</v>
      </c>
      <c r="E1091" s="30">
        <v>30.0</v>
      </c>
      <c r="F1091" s="16">
        <v>0.0</v>
      </c>
      <c r="G1091" s="16">
        <v>50.0</v>
      </c>
      <c r="H1091" s="31" t="s">
        <v>71</v>
      </c>
    </row>
    <row r="1092" ht="15.75" customHeight="1">
      <c r="B1092" s="16" t="s">
        <v>62</v>
      </c>
      <c r="C1092" s="16" t="s">
        <v>142</v>
      </c>
      <c r="D1092" s="16" t="s">
        <v>1110</v>
      </c>
      <c r="E1092" s="30">
        <v>30.0</v>
      </c>
      <c r="F1092" s="16">
        <v>0.0</v>
      </c>
      <c r="G1092" s="16">
        <v>100.0</v>
      </c>
      <c r="H1092" s="31" t="s">
        <v>71</v>
      </c>
    </row>
    <row r="1093" ht="15.75" customHeight="1">
      <c r="B1093" s="16" t="s">
        <v>62</v>
      </c>
      <c r="C1093" s="16" t="s">
        <v>72</v>
      </c>
      <c r="D1093" s="16" t="s">
        <v>1111</v>
      </c>
      <c r="E1093" s="30">
        <v>35.0</v>
      </c>
      <c r="F1093" s="16">
        <v>5.0</v>
      </c>
      <c r="G1093" s="16">
        <v>200.0</v>
      </c>
      <c r="H1093" s="31" t="s">
        <v>71</v>
      </c>
    </row>
    <row r="1094" ht="15.75" customHeight="1">
      <c r="B1094" s="16" t="s">
        <v>62</v>
      </c>
      <c r="C1094" s="16" t="s">
        <v>72</v>
      </c>
      <c r="D1094" s="16" t="s">
        <v>1112</v>
      </c>
      <c r="E1094" s="30">
        <v>35.0</v>
      </c>
      <c r="F1094" s="16">
        <v>0.0</v>
      </c>
      <c r="G1094" s="16">
        <v>400.0</v>
      </c>
      <c r="H1094" s="31" t="s">
        <v>71</v>
      </c>
    </row>
    <row r="1095" ht="15.75" customHeight="1">
      <c r="B1095" s="16" t="s">
        <v>62</v>
      </c>
      <c r="C1095" s="16" t="s">
        <v>72</v>
      </c>
      <c r="D1095" s="16" t="s">
        <v>1113</v>
      </c>
      <c r="E1095" s="30">
        <v>45.0</v>
      </c>
      <c r="F1095" s="16">
        <v>0.0</v>
      </c>
      <c r="G1095" s="16">
        <v>220.0</v>
      </c>
      <c r="H1095" s="31" t="s">
        <v>71</v>
      </c>
    </row>
    <row r="1096" ht="15.75" customHeight="1">
      <c r="B1096" s="16" t="s">
        <v>62</v>
      </c>
      <c r="C1096" s="16" t="s">
        <v>77</v>
      </c>
      <c r="D1096" s="16" t="s">
        <v>1114</v>
      </c>
      <c r="E1096" s="30">
        <v>45.0</v>
      </c>
      <c r="F1096" s="16">
        <v>0.0</v>
      </c>
      <c r="G1096" s="16">
        <v>200.0</v>
      </c>
      <c r="H1096" s="31" t="s">
        <v>71</v>
      </c>
    </row>
    <row r="1097" ht="15.75" customHeight="1">
      <c r="B1097" s="16" t="s">
        <v>62</v>
      </c>
      <c r="C1097" s="16" t="s">
        <v>142</v>
      </c>
      <c r="D1097" s="16" t="s">
        <v>1115</v>
      </c>
      <c r="E1097" s="30">
        <v>45.0</v>
      </c>
      <c r="F1097" s="16">
        <v>0.0</v>
      </c>
      <c r="G1097" s="16">
        <v>50.0</v>
      </c>
      <c r="H1097" s="31" t="s">
        <v>71</v>
      </c>
    </row>
    <row r="1098" ht="15.75" customHeight="1">
      <c r="B1098" s="16" t="s">
        <v>62</v>
      </c>
      <c r="C1098" s="16" t="s">
        <v>77</v>
      </c>
      <c r="D1098" s="16" t="s">
        <v>1116</v>
      </c>
      <c r="E1098" s="30">
        <v>50.0</v>
      </c>
      <c r="F1098" s="16">
        <v>5.0</v>
      </c>
      <c r="G1098" s="16">
        <v>180.0</v>
      </c>
      <c r="H1098" s="31" t="s">
        <v>71</v>
      </c>
    </row>
    <row r="1099" ht="15.75" customHeight="1">
      <c r="B1099" s="16" t="s">
        <v>62</v>
      </c>
      <c r="C1099" s="16" t="s">
        <v>77</v>
      </c>
      <c r="D1099" s="16" t="s">
        <v>1117</v>
      </c>
      <c r="E1099" s="30">
        <v>50.0</v>
      </c>
      <c r="F1099" s="16">
        <v>0.0</v>
      </c>
      <c r="G1099" s="16">
        <v>220.0</v>
      </c>
      <c r="H1099" s="31" t="s">
        <v>71</v>
      </c>
    </row>
    <row r="1100" ht="15.75" customHeight="1">
      <c r="B1100" s="16" t="s">
        <v>62</v>
      </c>
      <c r="C1100" s="16" t="s">
        <v>142</v>
      </c>
      <c r="D1100" s="16" t="s">
        <v>1118</v>
      </c>
      <c r="E1100" s="30">
        <v>50.0</v>
      </c>
      <c r="F1100" s="16">
        <v>5.0</v>
      </c>
      <c r="G1100" s="16">
        <v>300.0</v>
      </c>
      <c r="H1100" s="31" t="s">
        <v>71</v>
      </c>
    </row>
    <row r="1101" ht="15.75" customHeight="1">
      <c r="B1101" s="16" t="s">
        <v>62</v>
      </c>
      <c r="C1101" s="16" t="s">
        <v>77</v>
      </c>
      <c r="D1101" s="16" t="s">
        <v>1119</v>
      </c>
      <c r="E1101" s="30">
        <v>51.0</v>
      </c>
      <c r="F1101" s="16">
        <v>0.0</v>
      </c>
      <c r="G1101" s="16">
        <v>200.0</v>
      </c>
      <c r="H1101" s="31" t="s">
        <v>71</v>
      </c>
    </row>
    <row r="1102" ht="15.75" customHeight="1">
      <c r="B1102" s="16" t="s">
        <v>62</v>
      </c>
      <c r="C1102" s="16" t="s">
        <v>77</v>
      </c>
      <c r="D1102" s="16" t="s">
        <v>1120</v>
      </c>
      <c r="E1102" s="30">
        <v>54.0</v>
      </c>
      <c r="F1102" s="16">
        <v>0.0</v>
      </c>
      <c r="G1102" s="16">
        <v>120.0</v>
      </c>
      <c r="H1102" s="31" t="s">
        <v>71</v>
      </c>
    </row>
    <row r="1103" ht="15.75" customHeight="1">
      <c r="B1103" s="16" t="s">
        <v>62</v>
      </c>
      <c r="C1103" s="16" t="s">
        <v>72</v>
      </c>
      <c r="D1103" s="16" t="s">
        <v>1121</v>
      </c>
      <c r="E1103" s="30">
        <v>55.0</v>
      </c>
      <c r="F1103" s="16">
        <v>4.9</v>
      </c>
      <c r="G1103" s="16">
        <v>350.0</v>
      </c>
      <c r="H1103" s="31" t="s">
        <v>71</v>
      </c>
    </row>
    <row r="1104" ht="15.75" customHeight="1">
      <c r="B1104" s="16" t="s">
        <v>62</v>
      </c>
      <c r="C1104" s="16" t="s">
        <v>72</v>
      </c>
      <c r="D1104" s="16" t="s">
        <v>368</v>
      </c>
      <c r="E1104" s="30">
        <v>55.0</v>
      </c>
      <c r="F1104" s="16">
        <v>5.0</v>
      </c>
      <c r="G1104" s="16">
        <v>350.0</v>
      </c>
      <c r="H1104" s="31" t="s">
        <v>71</v>
      </c>
    </row>
    <row r="1105" ht="15.75" customHeight="1">
      <c r="B1105" s="16" t="s">
        <v>62</v>
      </c>
      <c r="C1105" s="16" t="s">
        <v>77</v>
      </c>
      <c r="D1105" s="16" t="s">
        <v>1122</v>
      </c>
      <c r="E1105" s="30">
        <v>55.0</v>
      </c>
      <c r="F1105" s="16">
        <v>4.6</v>
      </c>
      <c r="G1105" s="16">
        <v>140.0</v>
      </c>
      <c r="H1105" s="31" t="s">
        <v>71</v>
      </c>
    </row>
    <row r="1106" ht="15.75" customHeight="1">
      <c r="B1106" s="16" t="s">
        <v>62</v>
      </c>
      <c r="C1106" s="16" t="s">
        <v>77</v>
      </c>
      <c r="D1106" s="16" t="s">
        <v>1123</v>
      </c>
      <c r="E1106" s="30">
        <v>55.0</v>
      </c>
      <c r="F1106" s="16">
        <v>0.0</v>
      </c>
      <c r="G1106" s="16">
        <v>250.0</v>
      </c>
      <c r="H1106" s="31" t="s">
        <v>71</v>
      </c>
    </row>
    <row r="1107" ht="15.75" customHeight="1">
      <c r="B1107" s="16" t="s">
        <v>62</v>
      </c>
      <c r="C1107" s="16" t="s">
        <v>72</v>
      </c>
      <c r="D1107" s="16" t="s">
        <v>1124</v>
      </c>
      <c r="E1107" s="30">
        <v>60.0</v>
      </c>
      <c r="F1107" s="16">
        <v>4.9</v>
      </c>
      <c r="G1107" s="16">
        <v>550.0</v>
      </c>
      <c r="H1107" s="31" t="s">
        <v>71</v>
      </c>
    </row>
    <row r="1108" ht="15.75" customHeight="1">
      <c r="B1108" s="16" t="s">
        <v>62</v>
      </c>
      <c r="C1108" s="16" t="s">
        <v>72</v>
      </c>
      <c r="D1108" s="16" t="s">
        <v>1125</v>
      </c>
      <c r="E1108" s="30">
        <v>60.0</v>
      </c>
      <c r="F1108" s="16">
        <v>0.0</v>
      </c>
      <c r="G1108" s="16">
        <v>400.0</v>
      </c>
      <c r="H1108" s="31" t="s">
        <v>71</v>
      </c>
    </row>
    <row r="1109" ht="15.75" customHeight="1">
      <c r="B1109" s="16" t="s">
        <v>62</v>
      </c>
      <c r="C1109" s="16" t="s">
        <v>77</v>
      </c>
      <c r="D1109" s="16" t="s">
        <v>1126</v>
      </c>
      <c r="E1109" s="30">
        <v>60.0</v>
      </c>
      <c r="F1109" s="16">
        <v>4.7</v>
      </c>
      <c r="G1109" s="16">
        <v>100.0</v>
      </c>
      <c r="H1109" s="31" t="s">
        <v>71</v>
      </c>
    </row>
    <row r="1110" ht="15.75" customHeight="1">
      <c r="B1110" s="16" t="s">
        <v>62</v>
      </c>
      <c r="C1110" s="16" t="s">
        <v>77</v>
      </c>
      <c r="D1110" s="16" t="s">
        <v>1127</v>
      </c>
      <c r="E1110" s="30">
        <v>60.0</v>
      </c>
      <c r="F1110" s="16">
        <v>0.0</v>
      </c>
      <c r="G1110" s="16">
        <v>150.0</v>
      </c>
      <c r="H1110" s="31" t="s">
        <v>71</v>
      </c>
    </row>
    <row r="1111" ht="15.75" customHeight="1">
      <c r="B1111" s="16" t="s">
        <v>62</v>
      </c>
      <c r="C1111" s="16" t="s">
        <v>72</v>
      </c>
      <c r="D1111" s="16" t="s">
        <v>1128</v>
      </c>
      <c r="E1111" s="30">
        <v>65.0</v>
      </c>
      <c r="F1111" s="16">
        <v>0.0</v>
      </c>
      <c r="G1111" s="16">
        <v>120.0</v>
      </c>
      <c r="H1111" s="31" t="s">
        <v>71</v>
      </c>
    </row>
    <row r="1112" ht="15.75" customHeight="1">
      <c r="B1112" s="16" t="s">
        <v>62</v>
      </c>
      <c r="C1112" s="16" t="s">
        <v>72</v>
      </c>
      <c r="D1112" s="16" t="s">
        <v>451</v>
      </c>
      <c r="E1112" s="30">
        <v>65.0</v>
      </c>
      <c r="F1112" s="16">
        <v>4.8</v>
      </c>
      <c r="G1112" s="16">
        <v>750.0</v>
      </c>
      <c r="H1112" s="31" t="s">
        <v>71</v>
      </c>
    </row>
    <row r="1113" ht="15.75" customHeight="1">
      <c r="B1113" s="16" t="s">
        <v>62</v>
      </c>
      <c r="C1113" s="16" t="s">
        <v>72</v>
      </c>
      <c r="D1113" s="16" t="s">
        <v>1129</v>
      </c>
      <c r="E1113" s="30">
        <v>65.0</v>
      </c>
      <c r="F1113" s="16">
        <v>5.0</v>
      </c>
      <c r="G1113" s="16">
        <v>300.0</v>
      </c>
      <c r="H1113" s="31" t="s">
        <v>71</v>
      </c>
    </row>
    <row r="1114" ht="15.75" customHeight="1">
      <c r="B1114" s="16" t="s">
        <v>62</v>
      </c>
      <c r="C1114" s="16" t="s">
        <v>72</v>
      </c>
      <c r="D1114" s="16" t="s">
        <v>1130</v>
      </c>
      <c r="E1114" s="30">
        <v>65.0</v>
      </c>
      <c r="F1114" s="16">
        <v>5.0</v>
      </c>
      <c r="G1114" s="16">
        <v>350.0</v>
      </c>
      <c r="H1114" s="31" t="s">
        <v>71</v>
      </c>
    </row>
    <row r="1115" ht="15.75" customHeight="1">
      <c r="B1115" s="16" t="s">
        <v>62</v>
      </c>
      <c r="C1115" s="16" t="s">
        <v>72</v>
      </c>
      <c r="D1115" s="16" t="s">
        <v>836</v>
      </c>
      <c r="E1115" s="30">
        <v>70.0</v>
      </c>
      <c r="F1115" s="16">
        <v>0.0</v>
      </c>
      <c r="G1115" s="16">
        <v>250.0</v>
      </c>
      <c r="H1115" s="31" t="s">
        <v>71</v>
      </c>
    </row>
    <row r="1116" ht="15.75" customHeight="1">
      <c r="B1116" s="16" t="s">
        <v>62</v>
      </c>
      <c r="C1116" s="16" t="s">
        <v>72</v>
      </c>
      <c r="D1116" s="16" t="s">
        <v>1131</v>
      </c>
      <c r="E1116" s="30">
        <v>70.0</v>
      </c>
      <c r="F1116" s="16">
        <v>5.0</v>
      </c>
      <c r="G1116" s="16">
        <v>250.0</v>
      </c>
      <c r="H1116" s="31" t="s">
        <v>71</v>
      </c>
    </row>
    <row r="1117" ht="15.75" customHeight="1">
      <c r="B1117" s="16" t="s">
        <v>62</v>
      </c>
      <c r="C1117" s="16" t="s">
        <v>77</v>
      </c>
      <c r="D1117" s="16" t="s">
        <v>1132</v>
      </c>
      <c r="E1117" s="30">
        <v>70.0</v>
      </c>
      <c r="F1117" s="16">
        <v>0.0</v>
      </c>
      <c r="G1117" s="16">
        <v>220.0</v>
      </c>
      <c r="H1117" s="31" t="s">
        <v>71</v>
      </c>
    </row>
    <row r="1118" ht="15.75" customHeight="1">
      <c r="B1118" s="16" t="s">
        <v>62</v>
      </c>
      <c r="C1118" s="16" t="s">
        <v>72</v>
      </c>
      <c r="D1118" s="16" t="s">
        <v>1133</v>
      </c>
      <c r="E1118" s="30">
        <v>75.0</v>
      </c>
      <c r="F1118" s="16">
        <v>5.0</v>
      </c>
      <c r="G1118" s="16">
        <v>900.0</v>
      </c>
      <c r="H1118" s="31" t="s">
        <v>71</v>
      </c>
    </row>
    <row r="1119" ht="15.75" customHeight="1">
      <c r="B1119" s="16" t="s">
        <v>62</v>
      </c>
      <c r="C1119" s="16" t="s">
        <v>72</v>
      </c>
      <c r="D1119" s="16" t="s">
        <v>1134</v>
      </c>
      <c r="E1119" s="30">
        <v>75.0</v>
      </c>
      <c r="F1119" s="16">
        <v>4.7</v>
      </c>
      <c r="G1119" s="16">
        <v>180.0</v>
      </c>
      <c r="H1119" s="31" t="s">
        <v>71</v>
      </c>
    </row>
    <row r="1120" ht="15.75" customHeight="1">
      <c r="B1120" s="16" t="s">
        <v>62</v>
      </c>
      <c r="C1120" s="16" t="s">
        <v>72</v>
      </c>
      <c r="D1120" s="16" t="s">
        <v>1135</v>
      </c>
      <c r="E1120" s="30">
        <v>80.0</v>
      </c>
      <c r="F1120" s="16">
        <v>4.3</v>
      </c>
      <c r="G1120" s="16">
        <v>250.0</v>
      </c>
      <c r="H1120" s="31" t="s">
        <v>71</v>
      </c>
    </row>
    <row r="1121" ht="15.75" customHeight="1">
      <c r="B1121" s="16" t="s">
        <v>62</v>
      </c>
      <c r="C1121" s="16" t="s">
        <v>72</v>
      </c>
      <c r="D1121" s="16" t="s">
        <v>1136</v>
      </c>
      <c r="E1121" s="30">
        <v>80.0</v>
      </c>
      <c r="F1121" s="16">
        <v>5.0</v>
      </c>
      <c r="G1121" s="16">
        <v>750.0</v>
      </c>
      <c r="H1121" s="31" t="s">
        <v>71</v>
      </c>
    </row>
    <row r="1122" ht="15.75" customHeight="1">
      <c r="B1122" s="16" t="s">
        <v>62</v>
      </c>
      <c r="C1122" s="16" t="s">
        <v>72</v>
      </c>
      <c r="D1122" s="16" t="s">
        <v>1137</v>
      </c>
      <c r="E1122" s="30">
        <v>85.0</v>
      </c>
      <c r="F1122" s="16">
        <v>4.7</v>
      </c>
      <c r="G1122" s="16">
        <v>500.0</v>
      </c>
      <c r="H1122" s="31" t="s">
        <v>71</v>
      </c>
    </row>
    <row r="1123" ht="15.75" customHeight="1">
      <c r="B1123" s="16" t="s">
        <v>62</v>
      </c>
      <c r="C1123" s="16" t="s">
        <v>72</v>
      </c>
      <c r="D1123" s="16" t="s">
        <v>256</v>
      </c>
      <c r="E1123" s="30">
        <v>85.0</v>
      </c>
      <c r="F1123" s="16">
        <v>5.0</v>
      </c>
      <c r="G1123" s="16">
        <v>400.0</v>
      </c>
      <c r="H1123" s="31" t="s">
        <v>71</v>
      </c>
    </row>
    <row r="1124" ht="15.75" customHeight="1">
      <c r="B1124" s="16" t="s">
        <v>62</v>
      </c>
      <c r="C1124" s="16" t="s">
        <v>72</v>
      </c>
      <c r="D1124" s="16" t="s">
        <v>1138</v>
      </c>
      <c r="E1124" s="30">
        <v>88.0</v>
      </c>
      <c r="F1124" s="16">
        <v>0.0</v>
      </c>
      <c r="G1124" s="16">
        <v>180.0</v>
      </c>
      <c r="H1124" s="31" t="s">
        <v>71</v>
      </c>
    </row>
    <row r="1125" ht="15.75" customHeight="1">
      <c r="B1125" s="16" t="s">
        <v>62</v>
      </c>
      <c r="C1125" s="16" t="s">
        <v>72</v>
      </c>
      <c r="D1125" s="16" t="s">
        <v>1139</v>
      </c>
      <c r="E1125" s="30">
        <v>90.0</v>
      </c>
      <c r="F1125" s="16">
        <v>4.9</v>
      </c>
      <c r="G1125" s="16">
        <v>300.0</v>
      </c>
      <c r="H1125" s="31" t="s">
        <v>71</v>
      </c>
    </row>
    <row r="1126" ht="15.75" customHeight="1">
      <c r="B1126" s="16" t="s">
        <v>62</v>
      </c>
      <c r="C1126" s="16" t="s">
        <v>72</v>
      </c>
      <c r="D1126" s="16" t="s">
        <v>1140</v>
      </c>
      <c r="E1126" s="30">
        <v>90.0</v>
      </c>
      <c r="F1126" s="16">
        <v>0.0</v>
      </c>
      <c r="G1126" s="16">
        <v>100.0</v>
      </c>
      <c r="H1126" s="31" t="s">
        <v>71</v>
      </c>
    </row>
    <row r="1127" ht="15.75" customHeight="1">
      <c r="B1127" s="16" t="s">
        <v>62</v>
      </c>
      <c r="C1127" s="16" t="s">
        <v>72</v>
      </c>
      <c r="D1127" s="16" t="s">
        <v>1141</v>
      </c>
      <c r="E1127" s="30">
        <v>90.0</v>
      </c>
      <c r="F1127" s="16">
        <v>5.0</v>
      </c>
      <c r="G1127" s="16">
        <v>100.0</v>
      </c>
      <c r="H1127" s="31" t="s">
        <v>71</v>
      </c>
    </row>
    <row r="1128" ht="15.75" customHeight="1">
      <c r="B1128" s="16" t="s">
        <v>62</v>
      </c>
      <c r="C1128" s="16" t="s">
        <v>72</v>
      </c>
      <c r="D1128" s="16" t="s">
        <v>1142</v>
      </c>
      <c r="E1128" s="30">
        <v>90.0</v>
      </c>
      <c r="F1128" s="16">
        <v>5.0</v>
      </c>
      <c r="G1128" s="16">
        <v>500.0</v>
      </c>
      <c r="H1128" s="31" t="s">
        <v>71</v>
      </c>
    </row>
    <row r="1129" ht="15.75" customHeight="1">
      <c r="B1129" s="16" t="s">
        <v>62</v>
      </c>
      <c r="C1129" s="16" t="s">
        <v>77</v>
      </c>
      <c r="D1129" s="16" t="s">
        <v>1143</v>
      </c>
      <c r="E1129" s="30">
        <v>90.0</v>
      </c>
      <c r="F1129" s="16">
        <v>0.0</v>
      </c>
      <c r="G1129" s="16">
        <v>250.0</v>
      </c>
      <c r="H1129" s="31" t="s">
        <v>71</v>
      </c>
    </row>
    <row r="1130" ht="15.75" customHeight="1">
      <c r="B1130" s="16" t="s">
        <v>62</v>
      </c>
      <c r="C1130" s="16" t="s">
        <v>72</v>
      </c>
      <c r="D1130" s="16" t="s">
        <v>1144</v>
      </c>
      <c r="E1130" s="30">
        <v>95.0</v>
      </c>
      <c r="F1130" s="16">
        <v>0.0</v>
      </c>
      <c r="G1130" s="16">
        <v>200.0</v>
      </c>
      <c r="H1130" s="31" t="s">
        <v>71</v>
      </c>
    </row>
    <row r="1131" ht="15.75" customHeight="1">
      <c r="B1131" s="16" t="s">
        <v>62</v>
      </c>
      <c r="C1131" s="16" t="s">
        <v>72</v>
      </c>
      <c r="D1131" s="16" t="s">
        <v>1145</v>
      </c>
      <c r="E1131" s="30">
        <v>100.0</v>
      </c>
      <c r="F1131" s="16">
        <v>4.6</v>
      </c>
      <c r="G1131" s="16">
        <v>200.0</v>
      </c>
      <c r="H1131" s="31" t="s">
        <v>71</v>
      </c>
    </row>
    <row r="1132" ht="15.75" customHeight="1">
      <c r="B1132" s="16" t="s">
        <v>62</v>
      </c>
      <c r="C1132" s="16" t="s">
        <v>72</v>
      </c>
      <c r="D1132" s="16" t="s">
        <v>1146</v>
      </c>
      <c r="E1132" s="30">
        <v>100.0</v>
      </c>
      <c r="F1132" s="16">
        <v>5.0</v>
      </c>
      <c r="G1132" s="16">
        <v>300.0</v>
      </c>
      <c r="H1132" s="31" t="s">
        <v>71</v>
      </c>
    </row>
    <row r="1133" ht="15.75" customHeight="1">
      <c r="B1133" s="16" t="s">
        <v>62</v>
      </c>
      <c r="C1133" s="16" t="s">
        <v>72</v>
      </c>
      <c r="D1133" s="16" t="s">
        <v>1147</v>
      </c>
      <c r="E1133" s="30">
        <v>120.0</v>
      </c>
      <c r="F1133" s="16">
        <v>4.9</v>
      </c>
      <c r="G1133" s="16">
        <v>180.0</v>
      </c>
      <c r="H1133" s="31" t="s">
        <v>71</v>
      </c>
    </row>
    <row r="1134" ht="15.75" customHeight="1">
      <c r="B1134" s="16" t="s">
        <v>62</v>
      </c>
      <c r="C1134" s="16" t="s">
        <v>72</v>
      </c>
      <c r="D1134" s="16" t="s">
        <v>1148</v>
      </c>
      <c r="E1134" s="30">
        <v>120.0</v>
      </c>
      <c r="F1134" s="16">
        <v>4.9</v>
      </c>
      <c r="G1134" s="16">
        <v>300.0</v>
      </c>
      <c r="H1134" s="31" t="s">
        <v>71</v>
      </c>
    </row>
    <row r="1135" ht="15.75" customHeight="1">
      <c r="B1135" s="16" t="s">
        <v>62</v>
      </c>
      <c r="C1135" s="16" t="s">
        <v>72</v>
      </c>
      <c r="D1135" s="16" t="s">
        <v>1149</v>
      </c>
      <c r="E1135" s="30">
        <v>120.0</v>
      </c>
      <c r="F1135" s="16">
        <v>4.8</v>
      </c>
      <c r="G1135" s="16">
        <v>100.0</v>
      </c>
      <c r="H1135" s="31" t="s">
        <v>71</v>
      </c>
    </row>
    <row r="1136" ht="15.75" customHeight="1">
      <c r="B1136" s="16" t="s">
        <v>62</v>
      </c>
      <c r="C1136" s="16" t="s">
        <v>72</v>
      </c>
      <c r="D1136" s="16" t="s">
        <v>1150</v>
      </c>
      <c r="E1136" s="30">
        <v>120.0</v>
      </c>
      <c r="F1136" s="16">
        <v>5.0</v>
      </c>
      <c r="G1136" s="16">
        <v>230.0</v>
      </c>
      <c r="H1136" s="31" t="s">
        <v>71</v>
      </c>
    </row>
    <row r="1137" ht="15.75" customHeight="1">
      <c r="B1137" s="16" t="s">
        <v>62</v>
      </c>
      <c r="C1137" s="16" t="s">
        <v>77</v>
      </c>
      <c r="D1137" s="16" t="s">
        <v>1151</v>
      </c>
      <c r="E1137" s="30">
        <v>120.0</v>
      </c>
      <c r="F1137" s="16">
        <v>4.8</v>
      </c>
      <c r="G1137" s="16">
        <v>500.0</v>
      </c>
      <c r="H1137" s="31" t="s">
        <v>71</v>
      </c>
    </row>
    <row r="1138" ht="15.75" customHeight="1">
      <c r="B1138" s="16" t="s">
        <v>62</v>
      </c>
      <c r="C1138" s="16" t="s">
        <v>77</v>
      </c>
      <c r="D1138" s="16" t="s">
        <v>1152</v>
      </c>
      <c r="E1138" s="30">
        <v>120.0</v>
      </c>
      <c r="F1138" s="16">
        <v>4.9</v>
      </c>
      <c r="G1138" s="16">
        <v>350.0</v>
      </c>
      <c r="H1138" s="31" t="s">
        <v>71</v>
      </c>
    </row>
    <row r="1139" ht="15.75" customHeight="1">
      <c r="B1139" s="16" t="s">
        <v>62</v>
      </c>
      <c r="C1139" s="16" t="s">
        <v>72</v>
      </c>
      <c r="D1139" s="16" t="s">
        <v>1153</v>
      </c>
      <c r="E1139" s="30">
        <v>130.0</v>
      </c>
      <c r="F1139" s="16">
        <v>4.9</v>
      </c>
      <c r="G1139" s="16">
        <v>400.0</v>
      </c>
      <c r="H1139" s="31" t="s">
        <v>71</v>
      </c>
    </row>
    <row r="1140" ht="15.75" customHeight="1">
      <c r="B1140" s="16" t="s">
        <v>62</v>
      </c>
      <c r="C1140" s="16" t="s">
        <v>72</v>
      </c>
      <c r="D1140" s="16" t="s">
        <v>1154</v>
      </c>
      <c r="E1140" s="30">
        <v>130.0</v>
      </c>
      <c r="F1140" s="16">
        <v>5.0</v>
      </c>
      <c r="G1140" s="16">
        <v>220.0</v>
      </c>
      <c r="H1140" s="31" t="s">
        <v>71</v>
      </c>
    </row>
    <row r="1141" ht="15.75" customHeight="1">
      <c r="B1141" s="16" t="s">
        <v>62</v>
      </c>
      <c r="C1141" s="16" t="s">
        <v>77</v>
      </c>
      <c r="D1141" s="16" t="s">
        <v>1155</v>
      </c>
      <c r="E1141" s="30">
        <v>140.0</v>
      </c>
      <c r="F1141" s="16">
        <v>0.0</v>
      </c>
      <c r="G1141" s="16">
        <v>70.0</v>
      </c>
      <c r="H1141" s="31" t="s">
        <v>71</v>
      </c>
    </row>
    <row r="1142" ht="15.75" customHeight="1">
      <c r="B1142" s="16" t="s">
        <v>62</v>
      </c>
      <c r="C1142" s="16" t="s">
        <v>72</v>
      </c>
      <c r="D1142" s="16" t="s">
        <v>1156</v>
      </c>
      <c r="E1142" s="30">
        <v>170.0</v>
      </c>
      <c r="F1142" s="16">
        <v>5.0</v>
      </c>
      <c r="G1142" s="16">
        <v>250.0</v>
      </c>
      <c r="H1142" s="31" t="s">
        <v>71</v>
      </c>
    </row>
    <row r="1143" ht="15.75" customHeight="1">
      <c r="B1143" s="16" t="s">
        <v>62</v>
      </c>
      <c r="C1143" s="16" t="s">
        <v>72</v>
      </c>
      <c r="D1143" s="16" t="s">
        <v>1157</v>
      </c>
      <c r="E1143" s="30">
        <v>170.0</v>
      </c>
      <c r="F1143" s="16">
        <v>0.0</v>
      </c>
      <c r="G1143" s="16">
        <v>120.0</v>
      </c>
      <c r="H1143" s="31" t="s">
        <v>71</v>
      </c>
    </row>
    <row r="1144" ht="15.75" customHeight="1">
      <c r="B1144" s="16" t="s">
        <v>62</v>
      </c>
      <c r="C1144" s="16" t="s">
        <v>72</v>
      </c>
      <c r="D1144" s="16" t="s">
        <v>1158</v>
      </c>
      <c r="E1144" s="30">
        <v>160.0</v>
      </c>
      <c r="F1144" s="16">
        <v>4.9</v>
      </c>
      <c r="G1144" s="16">
        <v>280.0</v>
      </c>
      <c r="H1144" s="31" t="s">
        <v>71</v>
      </c>
    </row>
    <row r="1145" ht="15.75" customHeight="1">
      <c r="B1145" s="16" t="s">
        <v>62</v>
      </c>
      <c r="C1145" s="16" t="s">
        <v>72</v>
      </c>
      <c r="D1145" s="16" t="s">
        <v>1159</v>
      </c>
      <c r="E1145" s="30">
        <v>250.0</v>
      </c>
      <c r="F1145" s="16">
        <v>4.9</v>
      </c>
      <c r="G1145" s="16">
        <v>250.0</v>
      </c>
      <c r="H1145" s="31" t="s">
        <v>71</v>
      </c>
    </row>
    <row r="1146" ht="15.75" customHeight="1">
      <c r="B1146" s="16" t="s">
        <v>62</v>
      </c>
      <c r="C1146" s="16" t="s">
        <v>72</v>
      </c>
      <c r="D1146" s="16" t="s">
        <v>1160</v>
      </c>
      <c r="E1146" s="30">
        <v>250.0</v>
      </c>
      <c r="F1146" s="16">
        <v>0.0</v>
      </c>
      <c r="G1146" s="16">
        <v>160.0</v>
      </c>
      <c r="H1146" s="31" t="s">
        <v>71</v>
      </c>
    </row>
    <row r="1147" ht="15.75" customHeight="1">
      <c r="B1147" s="16" t="s">
        <v>63</v>
      </c>
      <c r="C1147" s="16" t="s">
        <v>77</v>
      </c>
      <c r="D1147" s="16" t="s">
        <v>1161</v>
      </c>
      <c r="E1147" s="30">
        <v>27.0</v>
      </c>
      <c r="F1147" s="16">
        <v>5.0</v>
      </c>
      <c r="G1147" s="16">
        <v>180.0</v>
      </c>
      <c r="H1147" s="31" t="s">
        <v>71</v>
      </c>
    </row>
    <row r="1148" ht="15.75" customHeight="1">
      <c r="B1148" s="16" t="s">
        <v>63</v>
      </c>
      <c r="C1148" s="16" t="s">
        <v>72</v>
      </c>
      <c r="D1148" s="16" t="s">
        <v>1162</v>
      </c>
      <c r="E1148" s="30">
        <v>30.0</v>
      </c>
      <c r="F1148" s="16">
        <v>5.0</v>
      </c>
      <c r="G1148" s="16">
        <v>200.0</v>
      </c>
      <c r="H1148" s="31" t="s">
        <v>71</v>
      </c>
    </row>
    <row r="1149" ht="15.75" customHeight="1">
      <c r="B1149" s="16" t="s">
        <v>63</v>
      </c>
      <c r="C1149" s="16" t="s">
        <v>142</v>
      </c>
      <c r="D1149" s="16" t="s">
        <v>1163</v>
      </c>
      <c r="E1149" s="30">
        <v>30.0</v>
      </c>
      <c r="F1149" s="16">
        <v>0.0</v>
      </c>
      <c r="G1149" s="16">
        <v>200.0</v>
      </c>
      <c r="H1149" s="31" t="s">
        <v>71</v>
      </c>
    </row>
    <row r="1150" ht="15.75" customHeight="1">
      <c r="B1150" s="16" t="s">
        <v>63</v>
      </c>
      <c r="C1150" s="16" t="s">
        <v>142</v>
      </c>
      <c r="D1150" s="16" t="s">
        <v>1164</v>
      </c>
      <c r="E1150" s="30">
        <v>32.0</v>
      </c>
      <c r="F1150" s="16">
        <v>5.0</v>
      </c>
      <c r="G1150" s="16">
        <v>200.0</v>
      </c>
      <c r="H1150" s="31" t="s">
        <v>71</v>
      </c>
    </row>
    <row r="1151" ht="15.75" customHeight="1">
      <c r="B1151" s="16" t="s">
        <v>63</v>
      </c>
      <c r="C1151" s="16" t="s">
        <v>77</v>
      </c>
      <c r="D1151" s="16" t="s">
        <v>1165</v>
      </c>
      <c r="E1151" s="30">
        <v>35.0</v>
      </c>
      <c r="F1151" s="16">
        <v>4.7</v>
      </c>
      <c r="G1151" s="16">
        <v>270.0</v>
      </c>
      <c r="H1151" s="31" t="s">
        <v>71</v>
      </c>
    </row>
    <row r="1152" ht="15.75" customHeight="1">
      <c r="B1152" s="16" t="s">
        <v>63</v>
      </c>
      <c r="C1152" s="16" t="s">
        <v>77</v>
      </c>
      <c r="D1152" s="16" t="s">
        <v>1166</v>
      </c>
      <c r="E1152" s="30">
        <v>35.0</v>
      </c>
      <c r="F1152" s="16">
        <v>0.0</v>
      </c>
      <c r="G1152" s="16">
        <v>200.0</v>
      </c>
      <c r="H1152" s="31" t="s">
        <v>71</v>
      </c>
    </row>
    <row r="1153" ht="15.75" customHeight="1">
      <c r="B1153" s="16" t="s">
        <v>63</v>
      </c>
      <c r="C1153" s="16" t="s">
        <v>77</v>
      </c>
      <c r="D1153" s="16" t="s">
        <v>1167</v>
      </c>
      <c r="E1153" s="30">
        <v>36.0</v>
      </c>
      <c r="F1153" s="16">
        <v>4.6</v>
      </c>
      <c r="G1153" s="16">
        <v>65.0</v>
      </c>
      <c r="H1153" s="31" t="s">
        <v>71</v>
      </c>
    </row>
    <row r="1154" ht="15.75" customHeight="1">
      <c r="B1154" s="16" t="s">
        <v>63</v>
      </c>
      <c r="C1154" s="16" t="s">
        <v>77</v>
      </c>
      <c r="D1154" s="16" t="s">
        <v>1168</v>
      </c>
      <c r="E1154" s="30">
        <v>40.0</v>
      </c>
      <c r="F1154" s="16">
        <v>0.0</v>
      </c>
      <c r="G1154" s="16">
        <v>150.0</v>
      </c>
      <c r="H1154" s="31" t="s">
        <v>71</v>
      </c>
    </row>
    <row r="1155" ht="15.75" customHeight="1">
      <c r="B1155" s="16" t="s">
        <v>63</v>
      </c>
      <c r="C1155" s="16" t="s">
        <v>77</v>
      </c>
      <c r="D1155" s="16" t="s">
        <v>1169</v>
      </c>
      <c r="E1155" s="30">
        <v>45.0</v>
      </c>
      <c r="F1155" s="16">
        <v>3.9</v>
      </c>
      <c r="G1155" s="16">
        <v>300.0</v>
      </c>
      <c r="H1155" s="31" t="s">
        <v>71</v>
      </c>
    </row>
    <row r="1156" ht="15.75" customHeight="1">
      <c r="B1156" s="16" t="s">
        <v>63</v>
      </c>
      <c r="C1156" s="16" t="s">
        <v>142</v>
      </c>
      <c r="D1156" s="16" t="s">
        <v>1170</v>
      </c>
      <c r="E1156" s="30">
        <v>47.0</v>
      </c>
      <c r="F1156" s="16">
        <v>0.0</v>
      </c>
      <c r="G1156" s="16">
        <v>110.0</v>
      </c>
      <c r="H1156" s="31" t="s">
        <v>71</v>
      </c>
    </row>
    <row r="1157" ht="15.75" customHeight="1">
      <c r="B1157" s="16" t="s">
        <v>63</v>
      </c>
      <c r="C1157" s="16" t="s">
        <v>72</v>
      </c>
      <c r="D1157" s="16" t="s">
        <v>1171</v>
      </c>
      <c r="E1157" s="30">
        <v>50.0</v>
      </c>
      <c r="F1157" s="16">
        <v>5.0</v>
      </c>
      <c r="G1157" s="16">
        <v>320.0</v>
      </c>
      <c r="H1157" s="31" t="s">
        <v>71</v>
      </c>
    </row>
    <row r="1158" ht="15.75" customHeight="1">
      <c r="B1158" s="16" t="s">
        <v>63</v>
      </c>
      <c r="C1158" s="16" t="s">
        <v>77</v>
      </c>
      <c r="D1158" s="16" t="s">
        <v>1172</v>
      </c>
      <c r="E1158" s="30">
        <v>50.0</v>
      </c>
      <c r="F1158" s="16">
        <v>4.6</v>
      </c>
      <c r="G1158" s="16">
        <v>200.0</v>
      </c>
      <c r="H1158" s="31" t="s">
        <v>71</v>
      </c>
    </row>
    <row r="1159" ht="15.75" customHeight="1">
      <c r="B1159" s="16" t="s">
        <v>63</v>
      </c>
      <c r="C1159" s="16" t="s">
        <v>77</v>
      </c>
      <c r="D1159" s="16" t="s">
        <v>1173</v>
      </c>
      <c r="E1159" s="30">
        <v>53.0</v>
      </c>
      <c r="F1159" s="16">
        <v>4.7</v>
      </c>
      <c r="G1159" s="16">
        <v>250.0</v>
      </c>
      <c r="H1159" s="31" t="s">
        <v>71</v>
      </c>
    </row>
    <row r="1160" ht="15.75" customHeight="1">
      <c r="B1160" s="16" t="s">
        <v>63</v>
      </c>
      <c r="C1160" s="16" t="s">
        <v>72</v>
      </c>
      <c r="D1160" s="16" t="s">
        <v>1174</v>
      </c>
      <c r="E1160" s="30">
        <v>60.0</v>
      </c>
      <c r="F1160" s="16">
        <v>4.8</v>
      </c>
      <c r="G1160" s="16">
        <v>200.0</v>
      </c>
      <c r="H1160" s="31" t="s">
        <v>71</v>
      </c>
    </row>
    <row r="1161" ht="15.75" customHeight="1">
      <c r="B1161" s="16" t="s">
        <v>63</v>
      </c>
      <c r="C1161" s="16" t="s">
        <v>77</v>
      </c>
      <c r="D1161" s="16" t="s">
        <v>1175</v>
      </c>
      <c r="E1161" s="30">
        <v>64.0</v>
      </c>
      <c r="F1161" s="16">
        <v>4.8</v>
      </c>
      <c r="G1161" s="16">
        <v>270.0</v>
      </c>
      <c r="H1161" s="31" t="s">
        <v>71</v>
      </c>
    </row>
    <row r="1162" ht="15.75" customHeight="1">
      <c r="B1162" s="16" t="s">
        <v>63</v>
      </c>
      <c r="C1162" s="16" t="s">
        <v>72</v>
      </c>
      <c r="D1162" s="16" t="s">
        <v>1176</v>
      </c>
      <c r="E1162" s="30">
        <v>65.0</v>
      </c>
      <c r="F1162" s="16">
        <v>0.0</v>
      </c>
      <c r="G1162" s="16">
        <v>300.0</v>
      </c>
      <c r="H1162" s="31" t="s">
        <v>71</v>
      </c>
    </row>
    <row r="1163" ht="15.75" customHeight="1">
      <c r="B1163" s="16" t="s">
        <v>63</v>
      </c>
      <c r="C1163" s="16" t="s">
        <v>142</v>
      </c>
      <c r="D1163" s="16" t="s">
        <v>1177</v>
      </c>
      <c r="E1163" s="30">
        <v>70.0</v>
      </c>
      <c r="F1163" s="16">
        <v>4.8</v>
      </c>
      <c r="G1163" s="16">
        <v>200.0</v>
      </c>
      <c r="H1163" s="31" t="s">
        <v>71</v>
      </c>
    </row>
    <row r="1164" ht="15.75" customHeight="1">
      <c r="B1164" s="16" t="s">
        <v>63</v>
      </c>
      <c r="C1164" s="16" t="s">
        <v>77</v>
      </c>
      <c r="D1164" s="16" t="s">
        <v>1178</v>
      </c>
      <c r="E1164" s="30">
        <v>90.0</v>
      </c>
      <c r="F1164" s="16">
        <v>0.0</v>
      </c>
      <c r="G1164" s="16">
        <v>160.0</v>
      </c>
      <c r="H1164" s="31" t="s">
        <v>71</v>
      </c>
    </row>
    <row r="1165" ht="15.75" customHeight="1">
      <c r="B1165" s="16" t="s">
        <v>63</v>
      </c>
      <c r="C1165" s="16" t="s">
        <v>77</v>
      </c>
      <c r="D1165" s="16" t="s">
        <v>1179</v>
      </c>
      <c r="E1165" s="30">
        <v>90.0</v>
      </c>
      <c r="F1165" s="16">
        <v>5.0</v>
      </c>
      <c r="G1165" s="16">
        <v>200.0</v>
      </c>
      <c r="H1165" s="31" t="s">
        <v>71</v>
      </c>
    </row>
    <row r="1166" ht="15.75" customHeight="1">
      <c r="B1166" s="16" t="s">
        <v>63</v>
      </c>
      <c r="C1166" s="16" t="s">
        <v>72</v>
      </c>
      <c r="D1166" s="16" t="s">
        <v>1180</v>
      </c>
      <c r="E1166" s="30">
        <v>250.0</v>
      </c>
      <c r="F1166" s="16">
        <v>0.0</v>
      </c>
      <c r="G1166" s="16">
        <v>0.0</v>
      </c>
      <c r="H1166" s="31" t="s">
        <v>71</v>
      </c>
    </row>
    <row r="1167" ht="15.75" customHeight="1">
      <c r="B1167" s="16" t="s">
        <v>63</v>
      </c>
      <c r="C1167" s="16" t="s">
        <v>77</v>
      </c>
      <c r="D1167" s="16" t="s">
        <v>1181</v>
      </c>
      <c r="E1167" s="30">
        <v>250.0</v>
      </c>
      <c r="F1167" s="16">
        <v>0.0</v>
      </c>
      <c r="G1167" s="16">
        <v>60.0</v>
      </c>
      <c r="H1167" s="31" t="s">
        <v>71</v>
      </c>
    </row>
    <row r="1168" ht="15.75" customHeight="1">
      <c r="B1168" s="16" t="s">
        <v>64</v>
      </c>
      <c r="C1168" s="16" t="s">
        <v>142</v>
      </c>
      <c r="D1168" s="16" t="s">
        <v>1182</v>
      </c>
      <c r="E1168" s="30">
        <v>6.0</v>
      </c>
      <c r="F1168" s="16">
        <v>0.0</v>
      </c>
      <c r="G1168" s="16">
        <v>200.0</v>
      </c>
      <c r="H1168" s="31" t="s">
        <v>71</v>
      </c>
    </row>
    <row r="1169" ht="15.75" customHeight="1">
      <c r="B1169" s="16" t="s">
        <v>64</v>
      </c>
      <c r="C1169" s="16" t="s">
        <v>72</v>
      </c>
      <c r="D1169" s="16" t="s">
        <v>1183</v>
      </c>
      <c r="E1169" s="30">
        <v>30.0</v>
      </c>
      <c r="F1169" s="16">
        <v>4.9</v>
      </c>
      <c r="G1169" s="16">
        <v>300.0</v>
      </c>
      <c r="H1169" s="31" t="s">
        <v>71</v>
      </c>
    </row>
    <row r="1170" ht="15.75" customHeight="1">
      <c r="B1170" s="16" t="s">
        <v>64</v>
      </c>
      <c r="C1170" s="16" t="s">
        <v>72</v>
      </c>
      <c r="D1170" s="16" t="s">
        <v>1184</v>
      </c>
      <c r="E1170" s="30">
        <v>30.0</v>
      </c>
      <c r="F1170" s="16">
        <v>0.0</v>
      </c>
      <c r="G1170" s="16">
        <v>200.0</v>
      </c>
      <c r="H1170" s="31" t="s">
        <v>71</v>
      </c>
    </row>
    <row r="1171" ht="15.75" customHeight="1">
      <c r="B1171" s="16" t="s">
        <v>64</v>
      </c>
      <c r="C1171" s="16" t="s">
        <v>77</v>
      </c>
      <c r="D1171" s="16" t="s">
        <v>1185</v>
      </c>
      <c r="E1171" s="30">
        <v>30.0</v>
      </c>
      <c r="F1171" s="16">
        <v>0.0</v>
      </c>
      <c r="G1171" s="16">
        <v>70.0</v>
      </c>
      <c r="H1171" s="31" t="s">
        <v>71</v>
      </c>
    </row>
    <row r="1172" ht="15.75" customHeight="1">
      <c r="B1172" s="16" t="s">
        <v>64</v>
      </c>
      <c r="C1172" s="16" t="s">
        <v>77</v>
      </c>
      <c r="D1172" s="16" t="s">
        <v>1186</v>
      </c>
      <c r="E1172" s="30">
        <v>30.0</v>
      </c>
      <c r="F1172" s="16">
        <v>0.0</v>
      </c>
      <c r="G1172" s="16">
        <v>160.0</v>
      </c>
      <c r="H1172" s="31" t="s">
        <v>71</v>
      </c>
    </row>
    <row r="1173" ht="15.75" customHeight="1">
      <c r="B1173" s="16" t="s">
        <v>64</v>
      </c>
      <c r="C1173" s="16" t="s">
        <v>142</v>
      </c>
      <c r="D1173" s="16" t="s">
        <v>1187</v>
      </c>
      <c r="E1173" s="30">
        <v>35.0</v>
      </c>
      <c r="F1173" s="16">
        <v>0.0</v>
      </c>
      <c r="G1173" s="16">
        <v>150.0</v>
      </c>
      <c r="H1173" s="31" t="s">
        <v>71</v>
      </c>
    </row>
    <row r="1174" ht="15.75" customHeight="1">
      <c r="B1174" s="16" t="s">
        <v>64</v>
      </c>
      <c r="C1174" s="16" t="s">
        <v>142</v>
      </c>
      <c r="D1174" s="16" t="s">
        <v>1188</v>
      </c>
      <c r="E1174" s="30">
        <v>35.0</v>
      </c>
      <c r="F1174" s="16">
        <v>0.0</v>
      </c>
      <c r="G1174" s="16">
        <v>300.0</v>
      </c>
      <c r="H1174" s="31" t="s">
        <v>71</v>
      </c>
    </row>
    <row r="1175" ht="15.75" customHeight="1">
      <c r="B1175" s="16" t="s">
        <v>64</v>
      </c>
      <c r="C1175" s="16" t="s">
        <v>142</v>
      </c>
      <c r="D1175" s="16" t="s">
        <v>1189</v>
      </c>
      <c r="E1175" s="30">
        <v>35.0</v>
      </c>
      <c r="F1175" s="16">
        <v>0.0</v>
      </c>
      <c r="G1175" s="16">
        <v>250.0</v>
      </c>
      <c r="H1175" s="31" t="s">
        <v>71</v>
      </c>
    </row>
    <row r="1176" ht="15.75" customHeight="1">
      <c r="B1176" s="16" t="s">
        <v>64</v>
      </c>
      <c r="C1176" s="16" t="s">
        <v>77</v>
      </c>
      <c r="D1176" s="16" t="s">
        <v>1190</v>
      </c>
      <c r="E1176" s="30">
        <v>38.5</v>
      </c>
      <c r="F1176" s="16">
        <v>5.0</v>
      </c>
      <c r="G1176" s="16">
        <v>300.0</v>
      </c>
      <c r="H1176" s="31" t="s">
        <v>71</v>
      </c>
    </row>
    <row r="1177" ht="15.75" customHeight="1">
      <c r="B1177" s="16" t="s">
        <v>64</v>
      </c>
      <c r="C1177" s="16" t="s">
        <v>72</v>
      </c>
      <c r="D1177" s="16" t="s">
        <v>1191</v>
      </c>
      <c r="E1177" s="30">
        <v>40.0</v>
      </c>
      <c r="F1177" s="16">
        <v>0.0</v>
      </c>
      <c r="G1177" s="16">
        <v>100.0</v>
      </c>
      <c r="H1177" s="31" t="s">
        <v>71</v>
      </c>
    </row>
    <row r="1178" ht="15.75" customHeight="1">
      <c r="B1178" s="16" t="s">
        <v>64</v>
      </c>
      <c r="C1178" s="16" t="s">
        <v>77</v>
      </c>
      <c r="D1178" s="16" t="s">
        <v>1192</v>
      </c>
      <c r="E1178" s="30">
        <v>40.0</v>
      </c>
      <c r="F1178" s="16">
        <v>0.0</v>
      </c>
      <c r="G1178" s="16">
        <v>150.0</v>
      </c>
      <c r="H1178" s="31" t="s">
        <v>71</v>
      </c>
    </row>
    <row r="1179" ht="15.75" customHeight="1">
      <c r="B1179" s="16" t="s">
        <v>64</v>
      </c>
      <c r="C1179" s="16" t="s">
        <v>142</v>
      </c>
      <c r="D1179" s="16" t="s">
        <v>1193</v>
      </c>
      <c r="E1179" s="30">
        <v>45.0</v>
      </c>
      <c r="F1179" s="16">
        <v>0.0</v>
      </c>
      <c r="G1179" s="16">
        <v>60.0</v>
      </c>
      <c r="H1179" s="31" t="s">
        <v>71</v>
      </c>
    </row>
    <row r="1180" ht="15.75" customHeight="1">
      <c r="B1180" s="16" t="s">
        <v>64</v>
      </c>
      <c r="C1180" s="16" t="s">
        <v>142</v>
      </c>
      <c r="D1180" s="16" t="s">
        <v>1194</v>
      </c>
      <c r="E1180" s="30">
        <v>45.0</v>
      </c>
      <c r="F1180" s="16">
        <v>4.7</v>
      </c>
      <c r="G1180" s="16">
        <v>450.0</v>
      </c>
      <c r="H1180" s="31" t="s">
        <v>71</v>
      </c>
    </row>
    <row r="1181" ht="15.75" customHeight="1">
      <c r="B1181" s="16" t="s">
        <v>64</v>
      </c>
      <c r="C1181" s="16" t="s">
        <v>142</v>
      </c>
      <c r="D1181" s="16" t="s">
        <v>1195</v>
      </c>
      <c r="E1181" s="30">
        <v>50.0</v>
      </c>
      <c r="F1181" s="16">
        <v>4.9</v>
      </c>
      <c r="G1181" s="16">
        <v>250.0</v>
      </c>
      <c r="H1181" s="31" t="s">
        <v>71</v>
      </c>
    </row>
    <row r="1182" ht="15.75" customHeight="1">
      <c r="B1182" s="16" t="s">
        <v>64</v>
      </c>
      <c r="C1182" s="16" t="s">
        <v>77</v>
      </c>
      <c r="D1182" s="16" t="s">
        <v>1196</v>
      </c>
      <c r="E1182" s="30">
        <v>56.0</v>
      </c>
      <c r="F1182" s="16">
        <v>5.0</v>
      </c>
      <c r="G1182" s="16">
        <v>180.0</v>
      </c>
      <c r="H1182" s="31" t="s">
        <v>71</v>
      </c>
    </row>
    <row r="1183" ht="15.75" customHeight="1">
      <c r="B1183" s="16" t="s">
        <v>64</v>
      </c>
      <c r="C1183" s="16" t="s">
        <v>77</v>
      </c>
      <c r="D1183" s="16" t="s">
        <v>1197</v>
      </c>
      <c r="E1183" s="30">
        <v>60.0</v>
      </c>
      <c r="F1183" s="16">
        <v>5.0</v>
      </c>
      <c r="G1183" s="16">
        <v>400.0</v>
      </c>
      <c r="H1183" s="31" t="s">
        <v>71</v>
      </c>
    </row>
    <row r="1184" ht="15.75" customHeight="1">
      <c r="B1184" s="16" t="s">
        <v>64</v>
      </c>
      <c r="C1184" s="16" t="s">
        <v>77</v>
      </c>
      <c r="D1184" s="16" t="s">
        <v>1198</v>
      </c>
      <c r="E1184" s="30">
        <v>60.0</v>
      </c>
      <c r="F1184" s="16">
        <v>4.9</v>
      </c>
      <c r="G1184" s="16">
        <v>150.0</v>
      </c>
      <c r="H1184" s="31" t="s">
        <v>71</v>
      </c>
    </row>
    <row r="1185" ht="15.75" customHeight="1">
      <c r="B1185" s="16" t="s">
        <v>64</v>
      </c>
      <c r="C1185" s="16" t="s">
        <v>142</v>
      </c>
      <c r="D1185" s="16" t="s">
        <v>1199</v>
      </c>
      <c r="E1185" s="30">
        <v>60.0</v>
      </c>
      <c r="F1185" s="16">
        <v>4.5</v>
      </c>
      <c r="G1185" s="16">
        <v>200.0</v>
      </c>
      <c r="H1185" s="31" t="s">
        <v>71</v>
      </c>
    </row>
    <row r="1186" ht="15.75" customHeight="1">
      <c r="B1186" s="16" t="s">
        <v>64</v>
      </c>
      <c r="C1186" s="16" t="s">
        <v>77</v>
      </c>
      <c r="D1186" s="16" t="s">
        <v>1200</v>
      </c>
      <c r="E1186" s="30">
        <v>62.5</v>
      </c>
      <c r="F1186" s="16">
        <v>0.0</v>
      </c>
      <c r="G1186" s="16">
        <v>350.0</v>
      </c>
      <c r="H1186" s="31" t="s">
        <v>71</v>
      </c>
    </row>
    <row r="1187" ht="15.75" customHeight="1">
      <c r="B1187" s="16" t="s">
        <v>64</v>
      </c>
      <c r="C1187" s="16" t="s">
        <v>77</v>
      </c>
      <c r="D1187" s="16" t="s">
        <v>1201</v>
      </c>
      <c r="E1187" s="30">
        <v>70.0</v>
      </c>
      <c r="F1187" s="16">
        <v>0.0</v>
      </c>
      <c r="G1187" s="16">
        <v>200.0</v>
      </c>
      <c r="H1187" s="31" t="s">
        <v>71</v>
      </c>
    </row>
    <row r="1188" ht="15.75" customHeight="1">
      <c r="B1188" s="16" t="s">
        <v>64</v>
      </c>
      <c r="C1188" s="16" t="s">
        <v>72</v>
      </c>
      <c r="D1188" s="16" t="s">
        <v>1202</v>
      </c>
      <c r="E1188" s="30">
        <v>73.0</v>
      </c>
      <c r="F1188" s="16">
        <v>5.0</v>
      </c>
      <c r="G1188" s="16">
        <v>150.0</v>
      </c>
      <c r="H1188" s="31" t="s">
        <v>71</v>
      </c>
    </row>
    <row r="1189" ht="15.75" customHeight="1">
      <c r="B1189" s="16" t="s">
        <v>64</v>
      </c>
      <c r="C1189" s="16" t="s">
        <v>77</v>
      </c>
      <c r="D1189" s="16" t="s">
        <v>1203</v>
      </c>
      <c r="E1189" s="30">
        <v>75.0</v>
      </c>
      <c r="F1189" s="16">
        <v>4.9</v>
      </c>
      <c r="G1189" s="16">
        <v>130.0</v>
      </c>
      <c r="H1189" s="31" t="s">
        <v>71</v>
      </c>
    </row>
    <row r="1190" ht="15.75" customHeight="1">
      <c r="B1190" s="16" t="s">
        <v>64</v>
      </c>
      <c r="C1190" s="16" t="s">
        <v>77</v>
      </c>
      <c r="D1190" s="16" t="s">
        <v>1204</v>
      </c>
      <c r="E1190" s="30">
        <v>76.0</v>
      </c>
      <c r="F1190" s="16">
        <v>0.0</v>
      </c>
      <c r="G1190" s="16">
        <v>100.0</v>
      </c>
      <c r="H1190" s="31" t="s">
        <v>71</v>
      </c>
    </row>
    <row r="1191" ht="15.75" customHeight="1">
      <c r="B1191" s="16" t="s">
        <v>64</v>
      </c>
      <c r="C1191" s="16" t="s">
        <v>77</v>
      </c>
      <c r="D1191" s="16" t="s">
        <v>1205</v>
      </c>
      <c r="E1191" s="30">
        <v>77.0</v>
      </c>
      <c r="F1191" s="16">
        <v>5.0</v>
      </c>
      <c r="G1191" s="16">
        <v>160.0</v>
      </c>
      <c r="H1191" s="31" t="s">
        <v>71</v>
      </c>
    </row>
    <row r="1192" ht="15.75" customHeight="1">
      <c r="B1192" s="16" t="s">
        <v>64</v>
      </c>
      <c r="C1192" s="16" t="s">
        <v>72</v>
      </c>
      <c r="D1192" s="16" t="s">
        <v>1206</v>
      </c>
      <c r="E1192" s="30">
        <v>85.0</v>
      </c>
      <c r="F1192" s="16">
        <v>0.0</v>
      </c>
      <c r="G1192" s="16">
        <v>120.0</v>
      </c>
      <c r="H1192" s="31" t="s">
        <v>71</v>
      </c>
    </row>
    <row r="1193" ht="15.75" customHeight="1">
      <c r="B1193" s="16" t="s">
        <v>64</v>
      </c>
      <c r="C1193" s="16" t="s">
        <v>77</v>
      </c>
      <c r="D1193" s="16" t="s">
        <v>1207</v>
      </c>
      <c r="E1193" s="30">
        <v>87.5</v>
      </c>
      <c r="F1193" s="16">
        <v>0.0</v>
      </c>
      <c r="G1193" s="16">
        <v>40.0</v>
      </c>
      <c r="H1193" s="31" t="s">
        <v>71</v>
      </c>
    </row>
    <row r="1194" ht="15.75" customHeight="1">
      <c r="B1194" s="16" t="s">
        <v>64</v>
      </c>
      <c r="C1194" s="16" t="s">
        <v>72</v>
      </c>
      <c r="D1194" s="16" t="s">
        <v>1208</v>
      </c>
      <c r="E1194" s="30">
        <v>97.5</v>
      </c>
      <c r="F1194" s="16">
        <v>0.0</v>
      </c>
      <c r="G1194" s="16">
        <v>200.0</v>
      </c>
      <c r="H1194" s="31" t="s">
        <v>71</v>
      </c>
    </row>
    <row r="1195" ht="15.75" customHeight="1">
      <c r="B1195" s="16" t="s">
        <v>64</v>
      </c>
      <c r="C1195" s="16" t="s">
        <v>77</v>
      </c>
      <c r="D1195" s="16" t="s">
        <v>1209</v>
      </c>
      <c r="E1195" s="30">
        <v>105.0</v>
      </c>
      <c r="F1195" s="16">
        <v>0.0</v>
      </c>
      <c r="G1195" s="16">
        <v>60.0</v>
      </c>
      <c r="H1195" s="31" t="s">
        <v>71</v>
      </c>
    </row>
    <row r="1196" ht="15.75" customHeight="1">
      <c r="B1196" s="16" t="s">
        <v>64</v>
      </c>
      <c r="C1196" s="16" t="s">
        <v>72</v>
      </c>
      <c r="D1196" s="16" t="s">
        <v>1210</v>
      </c>
      <c r="E1196" s="30">
        <v>111.0</v>
      </c>
      <c r="F1196" s="16">
        <v>5.0</v>
      </c>
      <c r="G1196" s="16">
        <v>140.0</v>
      </c>
      <c r="H1196" s="31" t="s">
        <v>71</v>
      </c>
    </row>
    <row r="1197" ht="15.75" customHeight="1">
      <c r="B1197" s="16" t="s">
        <v>64</v>
      </c>
      <c r="C1197" s="16" t="s">
        <v>72</v>
      </c>
      <c r="D1197" s="16" t="s">
        <v>1211</v>
      </c>
      <c r="E1197" s="30">
        <v>127.0</v>
      </c>
      <c r="F1197" s="16">
        <v>4.9</v>
      </c>
      <c r="G1197" s="16">
        <v>160.0</v>
      </c>
      <c r="H1197" s="31" t="s">
        <v>71</v>
      </c>
    </row>
    <row r="1198" ht="15.75" customHeight="1">
      <c r="B1198" s="16" t="s">
        <v>64</v>
      </c>
      <c r="C1198" s="16" t="s">
        <v>77</v>
      </c>
      <c r="D1198" s="16" t="s">
        <v>1212</v>
      </c>
      <c r="E1198" s="30">
        <v>150.0</v>
      </c>
      <c r="F1198" s="16">
        <v>0.0</v>
      </c>
      <c r="G1198" s="16">
        <v>250.0</v>
      </c>
      <c r="H1198" s="31" t="s">
        <v>71</v>
      </c>
    </row>
    <row r="1199" ht="15.75" customHeight="1">
      <c r="B1199" s="16" t="s">
        <v>64</v>
      </c>
      <c r="C1199" s="16" t="s">
        <v>77</v>
      </c>
      <c r="D1199" s="16" t="s">
        <v>1213</v>
      </c>
      <c r="E1199" s="30">
        <v>165.0</v>
      </c>
      <c r="F1199" s="16">
        <v>0.0</v>
      </c>
      <c r="G1199" s="16">
        <v>400.0</v>
      </c>
      <c r="H1199" s="31" t="s">
        <v>71</v>
      </c>
    </row>
    <row r="1200" ht="15.75" customHeight="1">
      <c r="B1200" s="16" t="s">
        <v>64</v>
      </c>
      <c r="C1200" s="16" t="s">
        <v>72</v>
      </c>
      <c r="D1200" s="16" t="s">
        <v>1214</v>
      </c>
      <c r="E1200" s="30">
        <v>185.0</v>
      </c>
      <c r="F1200" s="16">
        <v>4.9</v>
      </c>
      <c r="G1200" s="16">
        <v>100.0</v>
      </c>
      <c r="H1200" s="31" t="s">
        <v>71</v>
      </c>
    </row>
    <row r="1201" ht="15.75" customHeight="1">
      <c r="E1201" s="30"/>
    </row>
    <row r="1202" ht="15.75" customHeight="1">
      <c r="E1202" s="30"/>
    </row>
    <row r="1203" ht="15.75" customHeight="1">
      <c r="E1203" s="30"/>
    </row>
    <row r="1204" ht="15.75" customHeight="1">
      <c r="E1204" s="30"/>
    </row>
  </sheetData>
  <autoFilter ref="$B$2:$H$391"/>
  <conditionalFormatting sqref="D1:D857 D859:D1204">
    <cfRule type="colorScale" priority="1">
      <colorScale>
        <cfvo type="min"/>
        <cfvo type="max"/>
        <color rgb="FFFFFFFF"/>
        <color rgb="FF57BB8A"/>
      </colorScale>
    </cfRule>
  </conditionalFormatting>
  <conditionalFormatting sqref="I46">
    <cfRule type="expression" dxfId="0" priority="2">
      <formula>CONTAR.SE</formula>
    </cfRule>
  </conditionalFormatting>
  <dataValidations>
    <dataValidation type="list" allowBlank="1" showErrorMessage="1" sqref="C1">
      <formula1>"Quintas,Hotéis,Praia,Restaurante,Salões"</formula1>
    </dataValidation>
  </dataValidations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2"/>
    <hyperlink r:id="rId11" ref="H13"/>
    <hyperlink r:id="rId12" ref="H14"/>
    <hyperlink r:id="rId13" ref="H15"/>
    <hyperlink r:id="rId14" ref="H16"/>
    <hyperlink r:id="rId15" ref="H17"/>
    <hyperlink r:id="rId16" ref="H18"/>
    <hyperlink r:id="rId17" ref="H19"/>
    <hyperlink r:id="rId18" ref="H20"/>
    <hyperlink r:id="rId19" ref="H21"/>
    <hyperlink r:id="rId20" ref="H22"/>
    <hyperlink r:id="rId21" ref="H23"/>
    <hyperlink r:id="rId22" ref="H24"/>
    <hyperlink r:id="rId23" ref="H25"/>
    <hyperlink r:id="rId24" ref="H26"/>
    <hyperlink r:id="rId25" ref="H27"/>
    <hyperlink r:id="rId26" ref="H28"/>
    <hyperlink r:id="rId27" ref="H29"/>
    <hyperlink r:id="rId28" ref="H30"/>
    <hyperlink r:id="rId29" ref="H31"/>
    <hyperlink r:id="rId30" ref="H32"/>
    <hyperlink r:id="rId31" ref="H33"/>
    <hyperlink r:id="rId32" ref="H34"/>
    <hyperlink r:id="rId33" ref="H35"/>
    <hyperlink r:id="rId34" ref="H36"/>
    <hyperlink r:id="rId35" ref="H37"/>
    <hyperlink r:id="rId36" ref="H38"/>
    <hyperlink r:id="rId37" ref="H39"/>
    <hyperlink r:id="rId38" ref="H40"/>
    <hyperlink r:id="rId39" ref="H41"/>
    <hyperlink r:id="rId40" ref="H42"/>
    <hyperlink r:id="rId41" ref="H43"/>
    <hyperlink r:id="rId42" ref="H44"/>
    <hyperlink r:id="rId43" ref="H45"/>
    <hyperlink r:id="rId44" ref="H46"/>
    <hyperlink r:id="rId45" ref="H47"/>
    <hyperlink r:id="rId46" ref="H48"/>
    <hyperlink r:id="rId47" ref="H49"/>
    <hyperlink r:id="rId48" ref="H50"/>
    <hyperlink r:id="rId49" ref="H51"/>
    <hyperlink r:id="rId50" ref="H52"/>
    <hyperlink r:id="rId51" ref="H53"/>
    <hyperlink r:id="rId52" ref="H54"/>
    <hyperlink r:id="rId53" ref="H55"/>
    <hyperlink r:id="rId54" ref="H56"/>
    <hyperlink r:id="rId55" ref="H57"/>
    <hyperlink r:id="rId56" ref="H58"/>
    <hyperlink r:id="rId57" ref="H59"/>
    <hyperlink r:id="rId58" ref="H60"/>
    <hyperlink r:id="rId59" ref="H61"/>
    <hyperlink r:id="rId60" ref="H62"/>
    <hyperlink r:id="rId61" ref="H63"/>
    <hyperlink r:id="rId62" ref="H64"/>
    <hyperlink r:id="rId63" ref="H65"/>
    <hyperlink r:id="rId64" ref="H66"/>
    <hyperlink r:id="rId65" ref="H67"/>
    <hyperlink r:id="rId66" ref="H68"/>
    <hyperlink r:id="rId67" ref="H69"/>
    <hyperlink r:id="rId68" ref="H70"/>
    <hyperlink r:id="rId69" ref="H71"/>
    <hyperlink r:id="rId70" ref="H72"/>
    <hyperlink r:id="rId71" ref="H73"/>
    <hyperlink r:id="rId72" ref="H74"/>
    <hyperlink r:id="rId73" ref="H75"/>
    <hyperlink r:id="rId74" ref="H76"/>
    <hyperlink r:id="rId75" ref="H77"/>
    <hyperlink r:id="rId76" ref="H78"/>
    <hyperlink r:id="rId77" ref="H79"/>
    <hyperlink r:id="rId78" ref="H80"/>
    <hyperlink r:id="rId79" ref="H81"/>
    <hyperlink r:id="rId80" ref="H82"/>
    <hyperlink r:id="rId81" ref="H83"/>
    <hyperlink r:id="rId82" ref="H84"/>
    <hyperlink r:id="rId83" ref="H85"/>
    <hyperlink r:id="rId84" ref="H86"/>
    <hyperlink r:id="rId85" ref="H87"/>
    <hyperlink r:id="rId86" ref="H88"/>
    <hyperlink r:id="rId87" ref="H89"/>
    <hyperlink r:id="rId88" ref="H90"/>
    <hyperlink r:id="rId89" ref="H91"/>
    <hyperlink r:id="rId90" ref="H92"/>
    <hyperlink r:id="rId91" ref="H93"/>
    <hyperlink r:id="rId92" ref="H94"/>
    <hyperlink r:id="rId93" ref="H95"/>
    <hyperlink r:id="rId94" ref="H96"/>
    <hyperlink r:id="rId95" ref="H97"/>
    <hyperlink r:id="rId96" ref="H98"/>
    <hyperlink r:id="rId97" ref="H99"/>
    <hyperlink r:id="rId98" ref="H100"/>
    <hyperlink r:id="rId99" ref="H101"/>
    <hyperlink r:id="rId100" ref="H102"/>
    <hyperlink r:id="rId101" ref="H103"/>
    <hyperlink r:id="rId102" ref="H104"/>
    <hyperlink r:id="rId103" ref="H105"/>
    <hyperlink r:id="rId104" ref="H106"/>
    <hyperlink r:id="rId105" ref="H107"/>
    <hyperlink r:id="rId106" ref="H108"/>
    <hyperlink r:id="rId107" ref="H109"/>
    <hyperlink r:id="rId108" ref="H110"/>
    <hyperlink r:id="rId109" ref="H111"/>
    <hyperlink r:id="rId110" ref="H112"/>
    <hyperlink r:id="rId111" ref="H113"/>
    <hyperlink r:id="rId112" ref="H114"/>
    <hyperlink r:id="rId113" ref="H115"/>
    <hyperlink r:id="rId114" ref="H116"/>
    <hyperlink r:id="rId115" ref="H117"/>
    <hyperlink r:id="rId116" ref="H118"/>
    <hyperlink r:id="rId117" ref="H119"/>
    <hyperlink r:id="rId118" ref="H120"/>
    <hyperlink r:id="rId119" ref="H121"/>
    <hyperlink r:id="rId120" ref="H122"/>
    <hyperlink r:id="rId121" ref="H123"/>
    <hyperlink r:id="rId122" ref="H124"/>
    <hyperlink r:id="rId123" ref="H125"/>
    <hyperlink r:id="rId124" ref="H126"/>
    <hyperlink r:id="rId125" ref="H127"/>
    <hyperlink r:id="rId126" ref="H128"/>
    <hyperlink r:id="rId127" ref="H129"/>
    <hyperlink r:id="rId128" ref="H130"/>
    <hyperlink r:id="rId129" ref="H131"/>
    <hyperlink r:id="rId130" ref="H132"/>
    <hyperlink r:id="rId131" ref="H133"/>
    <hyperlink r:id="rId132" ref="H134"/>
    <hyperlink r:id="rId133" ref="H135"/>
    <hyperlink r:id="rId134" ref="H136"/>
    <hyperlink r:id="rId135" ref="H137"/>
    <hyperlink r:id="rId136" ref="H138"/>
    <hyperlink r:id="rId137" ref="H139"/>
    <hyperlink r:id="rId138" ref="H140"/>
    <hyperlink r:id="rId139" ref="H141"/>
    <hyperlink r:id="rId140" ref="H142"/>
    <hyperlink r:id="rId141" ref="H143"/>
    <hyperlink r:id="rId142" ref="H144"/>
    <hyperlink r:id="rId143" ref="H145"/>
    <hyperlink r:id="rId144" ref="H146"/>
    <hyperlink r:id="rId145" ref="H147"/>
    <hyperlink r:id="rId146" ref="H148"/>
    <hyperlink r:id="rId147" ref="H149"/>
    <hyperlink r:id="rId148" ref="H150"/>
    <hyperlink r:id="rId149" ref="H151"/>
    <hyperlink r:id="rId150" ref="H152"/>
    <hyperlink r:id="rId151" ref="H153"/>
    <hyperlink r:id="rId152" ref="H154"/>
    <hyperlink r:id="rId153" ref="H155"/>
    <hyperlink r:id="rId154" ref="H156"/>
    <hyperlink r:id="rId155" ref="H157"/>
    <hyperlink r:id="rId156" ref="H158"/>
    <hyperlink r:id="rId157" ref="H159"/>
    <hyperlink r:id="rId158" ref="H160"/>
    <hyperlink r:id="rId159" ref="H161"/>
    <hyperlink r:id="rId160" ref="H162"/>
    <hyperlink r:id="rId161" ref="H163"/>
    <hyperlink r:id="rId162" ref="H164"/>
    <hyperlink r:id="rId163" ref="H165"/>
    <hyperlink r:id="rId164" ref="H166"/>
    <hyperlink r:id="rId165" ref="H167"/>
    <hyperlink r:id="rId166" ref="H168"/>
    <hyperlink r:id="rId167" ref="H169"/>
    <hyperlink r:id="rId168" ref="H170"/>
    <hyperlink r:id="rId169" ref="H171"/>
    <hyperlink r:id="rId170" ref="H172"/>
    <hyperlink r:id="rId171" ref="H173"/>
    <hyperlink r:id="rId172" ref="H174"/>
    <hyperlink r:id="rId173" ref="H175"/>
    <hyperlink r:id="rId174" ref="H176"/>
    <hyperlink r:id="rId175" ref="H177"/>
    <hyperlink r:id="rId176" ref="H178"/>
    <hyperlink r:id="rId177" ref="H179"/>
    <hyperlink r:id="rId178" ref="H180"/>
    <hyperlink r:id="rId179" ref="H181"/>
    <hyperlink r:id="rId180" ref="H182"/>
    <hyperlink r:id="rId181" ref="H183"/>
    <hyperlink r:id="rId182" ref="H184"/>
    <hyperlink r:id="rId183" ref="H185"/>
    <hyperlink r:id="rId184" ref="H186"/>
    <hyperlink r:id="rId185" ref="H187"/>
    <hyperlink r:id="rId186" ref="H188"/>
    <hyperlink r:id="rId187" ref="H189"/>
    <hyperlink r:id="rId188" ref="H190"/>
    <hyperlink r:id="rId189" ref="H191"/>
    <hyperlink r:id="rId190" ref="H192"/>
    <hyperlink r:id="rId191" ref="H193"/>
    <hyperlink r:id="rId192" ref="H194"/>
    <hyperlink r:id="rId193" ref="H195"/>
    <hyperlink r:id="rId194" ref="H196"/>
    <hyperlink r:id="rId195" ref="H197"/>
    <hyperlink r:id="rId196" ref="H198"/>
    <hyperlink r:id="rId197" ref="H199"/>
    <hyperlink r:id="rId198" ref="H200"/>
    <hyperlink r:id="rId199" ref="H201"/>
    <hyperlink r:id="rId200" ref="H202"/>
    <hyperlink r:id="rId201" ref="H203"/>
    <hyperlink r:id="rId202" ref="H204"/>
    <hyperlink r:id="rId203" ref="H205"/>
    <hyperlink r:id="rId204" ref="H206"/>
    <hyperlink r:id="rId205" ref="H207"/>
    <hyperlink r:id="rId206" ref="H208"/>
    <hyperlink r:id="rId207" ref="H209"/>
    <hyperlink r:id="rId208" ref="H210"/>
    <hyperlink r:id="rId209" ref="H211"/>
    <hyperlink r:id="rId210" ref="H212"/>
    <hyperlink r:id="rId211" ref="H213"/>
    <hyperlink r:id="rId212" ref="H214"/>
    <hyperlink r:id="rId213" ref="H215"/>
    <hyperlink r:id="rId214" ref="H216"/>
    <hyperlink r:id="rId215" ref="H217"/>
    <hyperlink r:id="rId216" ref="H218"/>
    <hyperlink r:id="rId217" ref="H219"/>
    <hyperlink r:id="rId218" ref="H220"/>
    <hyperlink r:id="rId219" ref="H221"/>
    <hyperlink r:id="rId220" ref="H222"/>
    <hyperlink r:id="rId221" ref="H223"/>
    <hyperlink r:id="rId222" ref="H224"/>
    <hyperlink r:id="rId223" ref="H225"/>
    <hyperlink r:id="rId224" ref="H226"/>
    <hyperlink r:id="rId225" ref="H227"/>
    <hyperlink r:id="rId226" ref="H228"/>
    <hyperlink r:id="rId227" ref="H229"/>
    <hyperlink r:id="rId228" ref="H230"/>
    <hyperlink r:id="rId229" ref="H231"/>
    <hyperlink r:id="rId230" ref="H232"/>
    <hyperlink r:id="rId231" ref="H233"/>
    <hyperlink r:id="rId232" ref="H234"/>
    <hyperlink r:id="rId233" ref="H235"/>
    <hyperlink r:id="rId234" ref="H236"/>
    <hyperlink r:id="rId235" ref="H237"/>
    <hyperlink r:id="rId236" ref="H238"/>
    <hyperlink r:id="rId237" ref="H239"/>
    <hyperlink r:id="rId238" ref="H240"/>
    <hyperlink r:id="rId239" ref="H241"/>
    <hyperlink r:id="rId240" ref="H242"/>
    <hyperlink r:id="rId241" ref="H243"/>
    <hyperlink r:id="rId242" ref="H244"/>
    <hyperlink r:id="rId243" ref="H245"/>
    <hyperlink r:id="rId244" ref="H246"/>
    <hyperlink r:id="rId245" ref="H247"/>
    <hyperlink r:id="rId246" ref="H248"/>
    <hyperlink r:id="rId247" ref="H249"/>
    <hyperlink r:id="rId248" ref="H250"/>
    <hyperlink r:id="rId249" ref="H251"/>
    <hyperlink r:id="rId250" ref="H252"/>
    <hyperlink r:id="rId251" ref="H253"/>
    <hyperlink r:id="rId252" ref="H254"/>
    <hyperlink r:id="rId253" ref="H255"/>
    <hyperlink r:id="rId254" ref="H256"/>
    <hyperlink r:id="rId255" ref="H257"/>
    <hyperlink r:id="rId256" ref="H258"/>
    <hyperlink r:id="rId257" ref="H259"/>
    <hyperlink r:id="rId258" ref="H260"/>
    <hyperlink r:id="rId259" ref="H261"/>
    <hyperlink r:id="rId260" ref="H262"/>
    <hyperlink r:id="rId261" ref="H263"/>
    <hyperlink r:id="rId262" ref="H264"/>
    <hyperlink r:id="rId263" ref="H265"/>
    <hyperlink r:id="rId264" ref="H266"/>
    <hyperlink r:id="rId265" ref="H267"/>
    <hyperlink r:id="rId266" ref="H268"/>
    <hyperlink r:id="rId267" ref="H269"/>
    <hyperlink r:id="rId268" ref="H270"/>
    <hyperlink r:id="rId269" ref="H271"/>
    <hyperlink r:id="rId270" ref="H272"/>
    <hyperlink r:id="rId271" ref="H273"/>
    <hyperlink r:id="rId272" ref="H274"/>
    <hyperlink r:id="rId273" ref="H275"/>
    <hyperlink r:id="rId274" ref="H276"/>
    <hyperlink r:id="rId275" ref="H277"/>
    <hyperlink r:id="rId276" ref="H278"/>
    <hyperlink r:id="rId277" ref="H279"/>
    <hyperlink r:id="rId278" ref="H280"/>
    <hyperlink r:id="rId279" ref="H281"/>
    <hyperlink r:id="rId280" ref="H282"/>
    <hyperlink r:id="rId281" ref="H283"/>
    <hyperlink r:id="rId282" ref="H284"/>
    <hyperlink r:id="rId283" ref="H285"/>
    <hyperlink r:id="rId284" ref="H286"/>
    <hyperlink r:id="rId285" ref="H287"/>
    <hyperlink r:id="rId286" ref="H288"/>
    <hyperlink r:id="rId287" ref="H289"/>
    <hyperlink r:id="rId288" ref="H290"/>
    <hyperlink r:id="rId289" ref="H291"/>
    <hyperlink r:id="rId290" ref="H292"/>
    <hyperlink r:id="rId291" ref="H293"/>
    <hyperlink r:id="rId292" ref="H294"/>
    <hyperlink r:id="rId293" ref="H295"/>
    <hyperlink r:id="rId294" ref="H296"/>
    <hyperlink r:id="rId295" ref="H297"/>
    <hyperlink r:id="rId296" ref="H298"/>
    <hyperlink r:id="rId297" ref="H299"/>
    <hyperlink r:id="rId298" ref="H300"/>
    <hyperlink r:id="rId299" ref="H301"/>
    <hyperlink r:id="rId300" ref="H302"/>
    <hyperlink r:id="rId301" ref="H303"/>
    <hyperlink r:id="rId302" ref="H304"/>
    <hyperlink r:id="rId303" ref="H305"/>
    <hyperlink r:id="rId304" ref="H306"/>
    <hyperlink r:id="rId305" ref="H307"/>
    <hyperlink r:id="rId306" ref="H308"/>
    <hyperlink r:id="rId307" ref="H309"/>
    <hyperlink r:id="rId308" ref="H310"/>
    <hyperlink r:id="rId309" ref="H311"/>
    <hyperlink r:id="rId310" ref="H312"/>
    <hyperlink r:id="rId311" ref="H313"/>
    <hyperlink r:id="rId312" ref="H314"/>
    <hyperlink r:id="rId313" ref="H315"/>
    <hyperlink r:id="rId314" ref="H316"/>
    <hyperlink r:id="rId315" ref="H317"/>
    <hyperlink r:id="rId316" ref="H318"/>
    <hyperlink r:id="rId317" ref="H319"/>
    <hyperlink r:id="rId318" ref="H320"/>
    <hyperlink r:id="rId319" ref="H321"/>
    <hyperlink r:id="rId320" ref="H322"/>
    <hyperlink r:id="rId321" ref="H323"/>
    <hyperlink r:id="rId322" ref="H324"/>
    <hyperlink r:id="rId323" ref="H325"/>
    <hyperlink r:id="rId324" ref="H326"/>
    <hyperlink r:id="rId325" ref="H327"/>
    <hyperlink r:id="rId326" ref="H328"/>
    <hyperlink r:id="rId327" ref="H329"/>
    <hyperlink r:id="rId328" ref="H330"/>
    <hyperlink r:id="rId329" ref="H331"/>
    <hyperlink r:id="rId330" ref="H332"/>
    <hyperlink r:id="rId331" ref="H333"/>
    <hyperlink r:id="rId332" ref="H334"/>
    <hyperlink r:id="rId333" ref="H335"/>
    <hyperlink r:id="rId334" ref="H336"/>
    <hyperlink r:id="rId335" ref="H337"/>
    <hyperlink r:id="rId336" ref="H338"/>
    <hyperlink r:id="rId337" ref="H339"/>
    <hyperlink r:id="rId338" ref="H340"/>
    <hyperlink r:id="rId339" ref="H341"/>
    <hyperlink r:id="rId340" ref="H342"/>
    <hyperlink r:id="rId341" ref="H343"/>
    <hyperlink r:id="rId342" ref="H344"/>
    <hyperlink r:id="rId343" ref="H345"/>
    <hyperlink r:id="rId344" ref="H346"/>
    <hyperlink r:id="rId345" ref="H347"/>
    <hyperlink r:id="rId346" ref="H348"/>
    <hyperlink r:id="rId347" ref="H349"/>
    <hyperlink r:id="rId348" ref="H350"/>
    <hyperlink r:id="rId349" ref="H351"/>
    <hyperlink r:id="rId350" ref="H352"/>
    <hyperlink r:id="rId351" ref="H353"/>
    <hyperlink r:id="rId352" ref="H354"/>
    <hyperlink r:id="rId353" ref="H355"/>
    <hyperlink r:id="rId354" ref="H356"/>
    <hyperlink r:id="rId355" ref="H357"/>
    <hyperlink r:id="rId356" ref="H358"/>
    <hyperlink r:id="rId357" ref="H359"/>
    <hyperlink r:id="rId358" ref="H360"/>
    <hyperlink r:id="rId359" ref="H361"/>
    <hyperlink r:id="rId360" ref="H362"/>
    <hyperlink r:id="rId361" ref="H363"/>
    <hyperlink r:id="rId362" ref="H364"/>
    <hyperlink r:id="rId363" ref="H365"/>
    <hyperlink r:id="rId364" ref="H366"/>
    <hyperlink r:id="rId365" ref="H367"/>
    <hyperlink r:id="rId366" ref="H368"/>
    <hyperlink r:id="rId367" ref="H369"/>
    <hyperlink r:id="rId368" ref="H370"/>
    <hyperlink r:id="rId369" ref="H371"/>
    <hyperlink r:id="rId370" ref="H372"/>
    <hyperlink r:id="rId371" ref="H373"/>
    <hyperlink r:id="rId372" ref="H374"/>
    <hyperlink r:id="rId373" ref="H375"/>
    <hyperlink r:id="rId374" ref="H376"/>
    <hyperlink r:id="rId375" ref="H377"/>
    <hyperlink r:id="rId376" ref="H378"/>
    <hyperlink r:id="rId377" ref="H379"/>
    <hyperlink r:id="rId378" ref="H380"/>
    <hyperlink r:id="rId379" ref="H381"/>
    <hyperlink r:id="rId380" ref="H382"/>
    <hyperlink r:id="rId381" ref="H383"/>
    <hyperlink r:id="rId382" ref="H384"/>
    <hyperlink r:id="rId383" ref="H385"/>
    <hyperlink r:id="rId384" ref="H386"/>
    <hyperlink r:id="rId385" ref="H387"/>
    <hyperlink r:id="rId386" ref="H388"/>
    <hyperlink r:id="rId387" ref="H389"/>
    <hyperlink r:id="rId388" ref="H390"/>
    <hyperlink r:id="rId389" ref="H391"/>
    <hyperlink r:id="rId390" ref="H392"/>
    <hyperlink r:id="rId391" ref="H393"/>
    <hyperlink r:id="rId392" ref="H394"/>
    <hyperlink r:id="rId393" ref="H395"/>
    <hyperlink r:id="rId394" ref="H396"/>
    <hyperlink r:id="rId395" ref="H397"/>
    <hyperlink r:id="rId396" ref="H398"/>
    <hyperlink r:id="rId397" ref="H399"/>
    <hyperlink r:id="rId398" ref="H400"/>
    <hyperlink r:id="rId399" ref="H401"/>
    <hyperlink r:id="rId400" ref="H402"/>
    <hyperlink r:id="rId401" ref="H403"/>
    <hyperlink r:id="rId402" ref="H404"/>
    <hyperlink r:id="rId403" ref="H405"/>
    <hyperlink r:id="rId404" ref="H406"/>
    <hyperlink r:id="rId405" ref="H407"/>
    <hyperlink r:id="rId406" ref="H408"/>
    <hyperlink r:id="rId407" ref="H409"/>
    <hyperlink r:id="rId408" ref="H410"/>
    <hyperlink r:id="rId409" ref="H411"/>
    <hyperlink r:id="rId410" ref="H412"/>
    <hyperlink r:id="rId411" ref="H413"/>
    <hyperlink r:id="rId412" ref="H414"/>
    <hyperlink r:id="rId413" ref="H415"/>
    <hyperlink r:id="rId414" ref="H416"/>
    <hyperlink r:id="rId415" ref="H417"/>
    <hyperlink r:id="rId416" ref="H418"/>
    <hyperlink r:id="rId417" ref="H419"/>
    <hyperlink r:id="rId418" ref="H420"/>
    <hyperlink r:id="rId419" ref="H421"/>
    <hyperlink r:id="rId420" ref="H422"/>
    <hyperlink r:id="rId421" ref="H423"/>
    <hyperlink r:id="rId422" ref="H424"/>
    <hyperlink r:id="rId423" ref="H425"/>
    <hyperlink r:id="rId424" ref="H426"/>
    <hyperlink r:id="rId425" ref="H427"/>
    <hyperlink r:id="rId426" ref="H428"/>
    <hyperlink r:id="rId427" ref="H429"/>
    <hyperlink r:id="rId428" ref="H430"/>
    <hyperlink r:id="rId429" ref="H431"/>
    <hyperlink r:id="rId430" ref="H432"/>
    <hyperlink r:id="rId431" ref="H433"/>
    <hyperlink r:id="rId432" ref="H434"/>
    <hyperlink r:id="rId433" ref="H435"/>
    <hyperlink r:id="rId434" ref="H436"/>
    <hyperlink r:id="rId435" ref="H437"/>
    <hyperlink r:id="rId436" ref="H438"/>
    <hyperlink r:id="rId437" ref="H439"/>
    <hyperlink r:id="rId438" ref="H440"/>
    <hyperlink r:id="rId439" ref="H441"/>
    <hyperlink r:id="rId440" ref="H442"/>
    <hyperlink r:id="rId441" ref="H443"/>
    <hyperlink r:id="rId442" ref="H444"/>
    <hyperlink r:id="rId443" ref="H445"/>
    <hyperlink r:id="rId444" ref="H446"/>
    <hyperlink r:id="rId445" ref="H447"/>
    <hyperlink r:id="rId446" ref="H448"/>
    <hyperlink r:id="rId447" ref="H449"/>
    <hyperlink r:id="rId448" ref="H450"/>
    <hyperlink r:id="rId449" ref="H451"/>
    <hyperlink r:id="rId450" ref="H452"/>
    <hyperlink r:id="rId451" ref="H453"/>
    <hyperlink r:id="rId452" ref="H454"/>
    <hyperlink r:id="rId453" ref="H455"/>
    <hyperlink r:id="rId454" ref="H456"/>
    <hyperlink r:id="rId455" ref="H457"/>
    <hyperlink r:id="rId456" ref="H458"/>
    <hyperlink r:id="rId457" ref="H459"/>
    <hyperlink r:id="rId458" ref="H460"/>
    <hyperlink r:id="rId459" ref="H461"/>
    <hyperlink r:id="rId460" ref="H462"/>
    <hyperlink r:id="rId461" ref="H463"/>
    <hyperlink r:id="rId462" ref="H464"/>
    <hyperlink r:id="rId463" ref="H465"/>
    <hyperlink r:id="rId464" ref="H466"/>
    <hyperlink r:id="rId465" ref="H467"/>
    <hyperlink r:id="rId466" ref="H468"/>
    <hyperlink r:id="rId467" ref="H469"/>
    <hyperlink r:id="rId468" ref="H470"/>
    <hyperlink r:id="rId469" ref="H471"/>
    <hyperlink r:id="rId470" ref="H472"/>
    <hyperlink r:id="rId471" ref="H473"/>
    <hyperlink r:id="rId472" ref="H474"/>
    <hyperlink r:id="rId473" ref="H475"/>
    <hyperlink r:id="rId474" ref="H476"/>
    <hyperlink r:id="rId475" ref="H477"/>
    <hyperlink r:id="rId476" ref="H478"/>
    <hyperlink r:id="rId477" ref="H479"/>
    <hyperlink r:id="rId478" ref="H480"/>
    <hyperlink r:id="rId479" ref="H481"/>
    <hyperlink r:id="rId480" ref="H482"/>
    <hyperlink r:id="rId481" ref="H483"/>
    <hyperlink r:id="rId482" ref="H484"/>
    <hyperlink r:id="rId483" ref="H485"/>
    <hyperlink r:id="rId484" ref="H486"/>
    <hyperlink r:id="rId485" ref="H487"/>
    <hyperlink r:id="rId486" ref="H488"/>
    <hyperlink r:id="rId487" ref="H489"/>
    <hyperlink r:id="rId488" ref="H490"/>
    <hyperlink r:id="rId489" ref="H491"/>
    <hyperlink r:id="rId490" ref="H492"/>
    <hyperlink r:id="rId491" ref="H493"/>
    <hyperlink r:id="rId492" ref="H494"/>
    <hyperlink r:id="rId493" ref="H495"/>
    <hyperlink r:id="rId494" ref="H496"/>
    <hyperlink r:id="rId495" ref="H497"/>
    <hyperlink r:id="rId496" ref="H498"/>
    <hyperlink r:id="rId497" ref="H499"/>
    <hyperlink r:id="rId498" ref="H500"/>
    <hyperlink r:id="rId499" ref="H501"/>
    <hyperlink r:id="rId500" ref="H502"/>
    <hyperlink r:id="rId501" ref="H503"/>
    <hyperlink r:id="rId502" ref="H504"/>
    <hyperlink r:id="rId503" ref="H505"/>
    <hyperlink r:id="rId504" ref="H506"/>
    <hyperlink r:id="rId505" ref="H507"/>
    <hyperlink r:id="rId506" ref="H508"/>
    <hyperlink r:id="rId507" ref="H509"/>
    <hyperlink r:id="rId508" ref="H510"/>
    <hyperlink r:id="rId509" ref="H511"/>
    <hyperlink r:id="rId510" ref="H512"/>
    <hyperlink r:id="rId511" ref="H513"/>
    <hyperlink r:id="rId512" ref="H514"/>
    <hyperlink r:id="rId513" ref="H515"/>
    <hyperlink r:id="rId514" ref="H516"/>
    <hyperlink r:id="rId515" ref="H517"/>
    <hyperlink r:id="rId516" ref="H518"/>
    <hyperlink r:id="rId517" ref="H519"/>
    <hyperlink r:id="rId518" ref="H520"/>
    <hyperlink r:id="rId519" ref="H521"/>
    <hyperlink r:id="rId520" ref="H522"/>
    <hyperlink r:id="rId521" ref="H523"/>
    <hyperlink r:id="rId522" ref="H524"/>
    <hyperlink r:id="rId523" ref="H525"/>
    <hyperlink r:id="rId524" ref="H526"/>
    <hyperlink r:id="rId525" ref="H527"/>
    <hyperlink r:id="rId526" ref="H528"/>
    <hyperlink r:id="rId527" ref="H529"/>
    <hyperlink r:id="rId528" ref="H530"/>
    <hyperlink r:id="rId529" ref="H531"/>
    <hyperlink r:id="rId530" ref="H532"/>
    <hyperlink r:id="rId531" ref="H533"/>
    <hyperlink r:id="rId532" ref="H534"/>
    <hyperlink r:id="rId533" ref="H535"/>
    <hyperlink r:id="rId534" ref="H536"/>
    <hyperlink r:id="rId535" ref="H537"/>
    <hyperlink r:id="rId536" ref="H538"/>
    <hyperlink r:id="rId537" ref="H539"/>
    <hyperlink r:id="rId538" ref="H540"/>
    <hyperlink r:id="rId539" ref="H541"/>
    <hyperlink r:id="rId540" ref="H542"/>
    <hyperlink r:id="rId541" ref="H543"/>
    <hyperlink r:id="rId542" ref="H544"/>
    <hyperlink r:id="rId543" ref="H545"/>
    <hyperlink r:id="rId544" ref="H546"/>
    <hyperlink r:id="rId545" ref="H547"/>
    <hyperlink r:id="rId546" ref="H548"/>
    <hyperlink r:id="rId547" ref="H549"/>
    <hyperlink r:id="rId548" ref="H550"/>
    <hyperlink r:id="rId549" ref="H551"/>
    <hyperlink r:id="rId550" ref="H552"/>
    <hyperlink r:id="rId551" ref="H553"/>
    <hyperlink r:id="rId552" ref="H554"/>
    <hyperlink r:id="rId553" ref="H555"/>
    <hyperlink r:id="rId554" ref="H556"/>
    <hyperlink r:id="rId555" ref="H557"/>
    <hyperlink r:id="rId556" ref="H558"/>
    <hyperlink r:id="rId557" ref="H559"/>
    <hyperlink r:id="rId558" ref="H560"/>
    <hyperlink r:id="rId559" ref="H561"/>
    <hyperlink r:id="rId560" ref="H562"/>
    <hyperlink r:id="rId561" ref="H563"/>
    <hyperlink r:id="rId562" ref="H564"/>
    <hyperlink r:id="rId563" ref="H565"/>
    <hyperlink r:id="rId564" ref="H566"/>
    <hyperlink r:id="rId565" ref="H567"/>
    <hyperlink r:id="rId566" ref="H568"/>
    <hyperlink r:id="rId567" ref="H569"/>
    <hyperlink r:id="rId568" ref="H570"/>
    <hyperlink r:id="rId569" ref="H571"/>
    <hyperlink r:id="rId570" ref="H572"/>
    <hyperlink r:id="rId571" ref="H573"/>
    <hyperlink r:id="rId572" ref="H574"/>
    <hyperlink r:id="rId573" ref="H575"/>
    <hyperlink r:id="rId574" ref="H576"/>
    <hyperlink r:id="rId575" ref="H577"/>
    <hyperlink r:id="rId576" ref="H578"/>
    <hyperlink r:id="rId577" ref="H579"/>
    <hyperlink r:id="rId578" ref="H580"/>
    <hyperlink r:id="rId579" ref="H581"/>
    <hyperlink r:id="rId580" ref="H582"/>
    <hyperlink r:id="rId581" ref="H583"/>
    <hyperlink r:id="rId582" ref="H584"/>
    <hyperlink r:id="rId583" ref="H585"/>
    <hyperlink r:id="rId584" ref="H586"/>
    <hyperlink r:id="rId585" ref="H587"/>
    <hyperlink r:id="rId586" ref="H588"/>
    <hyperlink r:id="rId587" ref="H589"/>
    <hyperlink r:id="rId588" ref="H590"/>
    <hyperlink r:id="rId589" ref="H591"/>
    <hyperlink r:id="rId590" ref="H592"/>
    <hyperlink r:id="rId591" ref="H593"/>
    <hyperlink r:id="rId592" ref="H594"/>
    <hyperlink r:id="rId593" ref="H595"/>
    <hyperlink r:id="rId594" ref="H596"/>
    <hyperlink r:id="rId595" ref="H597"/>
    <hyperlink r:id="rId596" ref="H598"/>
    <hyperlink r:id="rId597" ref="H599"/>
    <hyperlink r:id="rId598" ref="H600"/>
    <hyperlink r:id="rId599" ref="H601"/>
    <hyperlink r:id="rId600" ref="H602"/>
    <hyperlink r:id="rId601" ref="H603"/>
    <hyperlink r:id="rId602" ref="H604"/>
    <hyperlink r:id="rId603" ref="H605"/>
    <hyperlink r:id="rId604" ref="H606"/>
    <hyperlink r:id="rId605" ref="H607"/>
    <hyperlink r:id="rId606" ref="H608"/>
    <hyperlink r:id="rId607" ref="H609"/>
    <hyperlink r:id="rId608" ref="H610"/>
    <hyperlink r:id="rId609" ref="H611"/>
    <hyperlink r:id="rId610" ref="H612"/>
    <hyperlink r:id="rId611" ref="H613"/>
    <hyperlink r:id="rId612" ref="H614"/>
    <hyperlink r:id="rId613" ref="H615"/>
    <hyperlink r:id="rId614" ref="H616"/>
    <hyperlink r:id="rId615" ref="H617"/>
    <hyperlink r:id="rId616" ref="H618"/>
    <hyperlink r:id="rId617" ref="H619"/>
    <hyperlink r:id="rId618" ref="H620"/>
    <hyperlink r:id="rId619" ref="H621"/>
    <hyperlink r:id="rId620" ref="H622"/>
    <hyperlink r:id="rId621" ref="H623"/>
    <hyperlink r:id="rId622" ref="H624"/>
    <hyperlink r:id="rId623" ref="H625"/>
    <hyperlink r:id="rId624" ref="H626"/>
    <hyperlink r:id="rId625" ref="H627"/>
    <hyperlink r:id="rId626" ref="H628"/>
    <hyperlink r:id="rId627" ref="H629"/>
    <hyperlink r:id="rId628" ref="H630"/>
    <hyperlink r:id="rId629" ref="H631"/>
    <hyperlink r:id="rId630" ref="H632"/>
    <hyperlink r:id="rId631" ref="H633"/>
    <hyperlink r:id="rId632" ref="H634"/>
    <hyperlink r:id="rId633" ref="H635"/>
    <hyperlink r:id="rId634" ref="H636"/>
    <hyperlink r:id="rId635" ref="H637"/>
    <hyperlink r:id="rId636" ref="H638"/>
    <hyperlink r:id="rId637" ref="H639"/>
    <hyperlink r:id="rId638" ref="H640"/>
    <hyperlink r:id="rId639" ref="H641"/>
    <hyperlink r:id="rId640" ref="H642"/>
    <hyperlink r:id="rId641" ref="H643"/>
    <hyperlink r:id="rId642" ref="H644"/>
    <hyperlink r:id="rId643" ref="H645"/>
    <hyperlink r:id="rId644" ref="H646"/>
    <hyperlink r:id="rId645" ref="H647"/>
    <hyperlink r:id="rId646" ref="H648"/>
    <hyperlink r:id="rId647" ref="H649"/>
    <hyperlink r:id="rId648" ref="H650"/>
    <hyperlink r:id="rId649" ref="H651"/>
    <hyperlink r:id="rId650" ref="H652"/>
    <hyperlink r:id="rId651" ref="H653"/>
    <hyperlink r:id="rId652" ref="H654"/>
    <hyperlink r:id="rId653" ref="H655"/>
    <hyperlink r:id="rId654" ref="H656"/>
    <hyperlink r:id="rId655" ref="H657"/>
    <hyperlink r:id="rId656" ref="H658"/>
    <hyperlink r:id="rId657" ref="H659"/>
    <hyperlink r:id="rId658" ref="H660"/>
    <hyperlink r:id="rId659" ref="H661"/>
    <hyperlink r:id="rId660" ref="H662"/>
    <hyperlink r:id="rId661" ref="H663"/>
    <hyperlink r:id="rId662" ref="H664"/>
    <hyperlink r:id="rId663" ref="H665"/>
    <hyperlink r:id="rId664" ref="H666"/>
    <hyperlink r:id="rId665" ref="H667"/>
    <hyperlink r:id="rId666" ref="H668"/>
    <hyperlink r:id="rId667" ref="H669"/>
    <hyperlink r:id="rId668" ref="H670"/>
    <hyperlink r:id="rId669" ref="H671"/>
    <hyperlink r:id="rId670" ref="H672"/>
    <hyperlink r:id="rId671" ref="H673"/>
    <hyperlink r:id="rId672" ref="H674"/>
    <hyperlink r:id="rId673" ref="H675"/>
    <hyperlink r:id="rId674" ref="H676"/>
    <hyperlink r:id="rId675" ref="H677"/>
    <hyperlink r:id="rId676" ref="H678"/>
    <hyperlink r:id="rId677" ref="H679"/>
    <hyperlink r:id="rId678" ref="H680"/>
    <hyperlink r:id="rId679" ref="H681"/>
    <hyperlink r:id="rId680" ref="H682"/>
    <hyperlink r:id="rId681" ref="H683"/>
    <hyperlink r:id="rId682" ref="H684"/>
    <hyperlink r:id="rId683" ref="H685"/>
    <hyperlink r:id="rId684" ref="H686"/>
    <hyperlink r:id="rId685" ref="H687"/>
    <hyperlink r:id="rId686" ref="H688"/>
    <hyperlink r:id="rId687" ref="H689"/>
    <hyperlink r:id="rId688" ref="H690"/>
    <hyperlink r:id="rId689" ref="H691"/>
    <hyperlink r:id="rId690" ref="H692"/>
    <hyperlink r:id="rId691" ref="H693"/>
    <hyperlink r:id="rId692" ref="H694"/>
    <hyperlink r:id="rId693" ref="H695"/>
    <hyperlink r:id="rId694" ref="H696"/>
    <hyperlink r:id="rId695" ref="H697"/>
    <hyperlink r:id="rId696" ref="H698"/>
    <hyperlink r:id="rId697" ref="H699"/>
    <hyperlink r:id="rId698" ref="H700"/>
    <hyperlink r:id="rId699" ref="H701"/>
    <hyperlink r:id="rId700" ref="H702"/>
    <hyperlink r:id="rId701" ref="H703"/>
    <hyperlink r:id="rId702" ref="H704"/>
    <hyperlink r:id="rId703" ref="H705"/>
    <hyperlink r:id="rId704" ref="H706"/>
    <hyperlink r:id="rId705" ref="H707"/>
    <hyperlink r:id="rId706" ref="H708"/>
    <hyperlink r:id="rId707" ref="H709"/>
    <hyperlink r:id="rId708" ref="H710"/>
    <hyperlink r:id="rId709" ref="H711"/>
    <hyperlink r:id="rId710" ref="H712"/>
    <hyperlink r:id="rId711" ref="H713"/>
    <hyperlink r:id="rId712" ref="H714"/>
    <hyperlink r:id="rId713" ref="H715"/>
    <hyperlink r:id="rId714" ref="H716"/>
    <hyperlink r:id="rId715" ref="H717"/>
    <hyperlink r:id="rId716" ref="H718"/>
    <hyperlink r:id="rId717" ref="H719"/>
    <hyperlink r:id="rId718" ref="H720"/>
    <hyperlink r:id="rId719" ref="H721"/>
    <hyperlink r:id="rId720" ref="H722"/>
    <hyperlink r:id="rId721" ref="H723"/>
    <hyperlink r:id="rId722" ref="H724"/>
    <hyperlink r:id="rId723" ref="H725"/>
    <hyperlink r:id="rId724" ref="H726"/>
    <hyperlink r:id="rId725" ref="H727"/>
    <hyperlink r:id="rId726" ref="H728"/>
    <hyperlink r:id="rId727" ref="H729"/>
    <hyperlink r:id="rId728" ref="H730"/>
    <hyperlink r:id="rId729" ref="H731"/>
    <hyperlink r:id="rId730" ref="H732"/>
    <hyperlink r:id="rId731" ref="H733"/>
    <hyperlink r:id="rId732" ref="H734"/>
    <hyperlink r:id="rId733" ref="H735"/>
    <hyperlink r:id="rId734" ref="H736"/>
    <hyperlink r:id="rId735" ref="H737"/>
    <hyperlink r:id="rId736" ref="H738"/>
    <hyperlink r:id="rId737" ref="H739"/>
    <hyperlink r:id="rId738" ref="H740"/>
    <hyperlink r:id="rId739" ref="H741"/>
    <hyperlink r:id="rId740" ref="H742"/>
    <hyperlink r:id="rId741" ref="H743"/>
    <hyperlink r:id="rId742" ref="H744"/>
    <hyperlink r:id="rId743" ref="H745"/>
    <hyperlink r:id="rId744" ref="H746"/>
    <hyperlink r:id="rId745" ref="H747"/>
    <hyperlink r:id="rId746" ref="H748"/>
    <hyperlink r:id="rId747" ref="H749"/>
    <hyperlink r:id="rId748" ref="H750"/>
    <hyperlink r:id="rId749" ref="H751"/>
    <hyperlink r:id="rId750" ref="H752"/>
    <hyperlink r:id="rId751" ref="H753"/>
    <hyperlink r:id="rId752" ref="H754"/>
    <hyperlink r:id="rId753" ref="H755"/>
    <hyperlink r:id="rId754" ref="H756"/>
    <hyperlink r:id="rId755" ref="H757"/>
    <hyperlink r:id="rId756" ref="H758"/>
    <hyperlink r:id="rId757" ref="H759"/>
    <hyperlink r:id="rId758" ref="H760"/>
    <hyperlink r:id="rId759" ref="H761"/>
    <hyperlink r:id="rId760" ref="H762"/>
    <hyperlink r:id="rId761" ref="H763"/>
    <hyperlink r:id="rId762" ref="H764"/>
    <hyperlink r:id="rId763" ref="H765"/>
    <hyperlink r:id="rId764" ref="H766"/>
    <hyperlink r:id="rId765" ref="H767"/>
    <hyperlink r:id="rId766" ref="H768"/>
    <hyperlink r:id="rId767" ref="H769"/>
    <hyperlink r:id="rId768" ref="H770"/>
    <hyperlink r:id="rId769" ref="H771"/>
    <hyperlink r:id="rId770" ref="H772"/>
    <hyperlink r:id="rId771" ref="H773"/>
    <hyperlink r:id="rId772" ref="H774"/>
    <hyperlink r:id="rId773" ref="H775"/>
    <hyperlink r:id="rId774" ref="H776"/>
    <hyperlink r:id="rId775" ref="H777"/>
    <hyperlink r:id="rId776" ref="H778"/>
    <hyperlink r:id="rId777" ref="H779"/>
    <hyperlink r:id="rId778" ref="H780"/>
    <hyperlink r:id="rId779" ref="H781"/>
    <hyperlink r:id="rId780" ref="H782"/>
    <hyperlink r:id="rId781" ref="H783"/>
    <hyperlink r:id="rId782" ref="H784"/>
    <hyperlink r:id="rId783" ref="H785"/>
    <hyperlink r:id="rId784" ref="H786"/>
    <hyperlink r:id="rId785" ref="H787"/>
    <hyperlink r:id="rId786" ref="H788"/>
    <hyperlink r:id="rId787" ref="H789"/>
    <hyperlink r:id="rId788" ref="H790"/>
    <hyperlink r:id="rId789" ref="H791"/>
    <hyperlink r:id="rId790" ref="H792"/>
    <hyperlink r:id="rId791" ref="H793"/>
    <hyperlink r:id="rId792" ref="H794"/>
    <hyperlink r:id="rId793" ref="H795"/>
    <hyperlink r:id="rId794" ref="H796"/>
    <hyperlink r:id="rId795" ref="H797"/>
    <hyperlink r:id="rId796" ref="H798"/>
    <hyperlink r:id="rId797" ref="H799"/>
    <hyperlink r:id="rId798" ref="H800"/>
    <hyperlink r:id="rId799" ref="H801"/>
    <hyperlink r:id="rId800" ref="H802"/>
    <hyperlink r:id="rId801" ref="H803"/>
    <hyperlink r:id="rId802" ref="H804"/>
    <hyperlink r:id="rId803" ref="H805"/>
    <hyperlink r:id="rId804" ref="H806"/>
    <hyperlink r:id="rId805" ref="H807"/>
    <hyperlink r:id="rId806" ref="H808"/>
    <hyperlink r:id="rId807" ref="H809"/>
    <hyperlink r:id="rId808" ref="H810"/>
    <hyperlink r:id="rId809" ref="H811"/>
    <hyperlink r:id="rId810" ref="H812"/>
    <hyperlink r:id="rId811" ref="H813"/>
    <hyperlink r:id="rId812" ref="H814"/>
    <hyperlink r:id="rId813" ref="H815"/>
    <hyperlink r:id="rId814" ref="H816"/>
    <hyperlink r:id="rId815" ref="H817"/>
    <hyperlink r:id="rId816" ref="H818"/>
    <hyperlink r:id="rId817" ref="H819"/>
    <hyperlink r:id="rId818" ref="H820"/>
    <hyperlink r:id="rId819" ref="H821"/>
    <hyperlink r:id="rId820" ref="H822"/>
    <hyperlink r:id="rId821" ref="H823"/>
    <hyperlink r:id="rId822" ref="H824"/>
    <hyperlink r:id="rId823" ref="H825"/>
    <hyperlink r:id="rId824" ref="H826"/>
    <hyperlink r:id="rId825" ref="H827"/>
    <hyperlink r:id="rId826" ref="H828"/>
    <hyperlink r:id="rId827" ref="H829"/>
    <hyperlink r:id="rId828" ref="H830"/>
    <hyperlink r:id="rId829" ref="H831"/>
    <hyperlink r:id="rId830" ref="H832"/>
    <hyperlink r:id="rId831" ref="H833"/>
    <hyperlink r:id="rId832" ref="H834"/>
    <hyperlink r:id="rId833" ref="H835"/>
    <hyperlink r:id="rId834" ref="H836"/>
    <hyperlink r:id="rId835" ref="H837"/>
    <hyperlink r:id="rId836" ref="H838"/>
    <hyperlink r:id="rId837" ref="H839"/>
    <hyperlink r:id="rId838" ref="H840"/>
    <hyperlink r:id="rId839" ref="H841"/>
    <hyperlink r:id="rId840" ref="H842"/>
    <hyperlink r:id="rId841" ref="H843"/>
    <hyperlink r:id="rId842" ref="H844"/>
    <hyperlink r:id="rId843" ref="H845"/>
    <hyperlink r:id="rId844" ref="H846"/>
    <hyperlink r:id="rId845" ref="H847"/>
    <hyperlink r:id="rId846" ref="H848"/>
    <hyperlink r:id="rId847" ref="H849"/>
    <hyperlink r:id="rId848" ref="H850"/>
    <hyperlink r:id="rId849" ref="H851"/>
    <hyperlink r:id="rId850" ref="H852"/>
    <hyperlink r:id="rId851" ref="H853"/>
    <hyperlink r:id="rId852" ref="H854"/>
    <hyperlink r:id="rId853" ref="H855"/>
    <hyperlink r:id="rId854" ref="H856"/>
    <hyperlink r:id="rId855" ref="H857"/>
    <hyperlink r:id="rId856" ref="H858"/>
    <hyperlink r:id="rId857" ref="H859"/>
    <hyperlink r:id="rId858" ref="H860"/>
    <hyperlink r:id="rId859" ref="H861"/>
    <hyperlink r:id="rId860" ref="H862"/>
    <hyperlink r:id="rId861" ref="H863"/>
    <hyperlink r:id="rId862" ref="H864"/>
    <hyperlink r:id="rId863" ref="H865"/>
    <hyperlink r:id="rId864" ref="H866"/>
    <hyperlink r:id="rId865" ref="H867"/>
    <hyperlink r:id="rId866" ref="H868"/>
    <hyperlink r:id="rId867" ref="H869"/>
    <hyperlink r:id="rId868" ref="H870"/>
    <hyperlink r:id="rId869" ref="H871"/>
    <hyperlink r:id="rId870" ref="H872"/>
    <hyperlink r:id="rId871" ref="H873"/>
    <hyperlink r:id="rId872" ref="H874"/>
    <hyperlink r:id="rId873" ref="H875"/>
    <hyperlink r:id="rId874" ref="H876"/>
    <hyperlink r:id="rId875" ref="H877"/>
    <hyperlink r:id="rId876" ref="H878"/>
    <hyperlink r:id="rId877" ref="H879"/>
    <hyperlink r:id="rId878" ref="H880"/>
    <hyperlink r:id="rId879" ref="H881"/>
    <hyperlink r:id="rId880" ref="H882"/>
    <hyperlink r:id="rId881" ref="H883"/>
    <hyperlink r:id="rId882" ref="H884"/>
    <hyperlink r:id="rId883" ref="H885"/>
    <hyperlink r:id="rId884" ref="H886"/>
    <hyperlink r:id="rId885" ref="H887"/>
    <hyperlink r:id="rId886" ref="H888"/>
    <hyperlink r:id="rId887" ref="H889"/>
    <hyperlink r:id="rId888" ref="H890"/>
    <hyperlink r:id="rId889" ref="H891"/>
    <hyperlink r:id="rId890" ref="H892"/>
    <hyperlink r:id="rId891" ref="H893"/>
    <hyperlink r:id="rId892" ref="H894"/>
    <hyperlink r:id="rId893" ref="H895"/>
    <hyperlink r:id="rId894" ref="H896"/>
    <hyperlink r:id="rId895" ref="H897"/>
    <hyperlink r:id="rId896" ref="H898"/>
    <hyperlink r:id="rId897" ref="H899"/>
    <hyperlink r:id="rId898" ref="H900"/>
    <hyperlink r:id="rId899" ref="H901"/>
    <hyperlink r:id="rId900" ref="H902"/>
    <hyperlink r:id="rId901" ref="H903"/>
    <hyperlink r:id="rId902" ref="H904"/>
    <hyperlink r:id="rId903" ref="H905"/>
    <hyperlink r:id="rId904" ref="H906"/>
    <hyperlink r:id="rId905" ref="H907"/>
    <hyperlink r:id="rId906" ref="H908"/>
    <hyperlink r:id="rId907" ref="H909"/>
    <hyperlink r:id="rId908" ref="H910"/>
    <hyperlink r:id="rId909" ref="H911"/>
    <hyperlink r:id="rId910" ref="H912"/>
    <hyperlink r:id="rId911" ref="H913"/>
    <hyperlink r:id="rId912" ref="H914"/>
    <hyperlink r:id="rId913" ref="H915"/>
    <hyperlink r:id="rId914" ref="H916"/>
    <hyperlink r:id="rId915" ref="H917"/>
    <hyperlink r:id="rId916" ref="H918"/>
    <hyperlink r:id="rId917" ref="H919"/>
    <hyperlink r:id="rId918" ref="H920"/>
    <hyperlink r:id="rId919" ref="H921"/>
    <hyperlink r:id="rId920" ref="H922"/>
    <hyperlink r:id="rId921" ref="H923"/>
    <hyperlink r:id="rId922" ref="H924"/>
    <hyperlink r:id="rId923" ref="H925"/>
    <hyperlink r:id="rId924" ref="H926"/>
    <hyperlink r:id="rId925" ref="H927"/>
    <hyperlink r:id="rId926" ref="H928"/>
    <hyperlink r:id="rId927" ref="H929"/>
    <hyperlink r:id="rId928" ref="H930"/>
    <hyperlink r:id="rId929" ref="H931"/>
    <hyperlink r:id="rId930" ref="H932"/>
    <hyperlink r:id="rId931" ref="H933"/>
    <hyperlink r:id="rId932" ref="H934"/>
    <hyperlink r:id="rId933" ref="H935"/>
    <hyperlink r:id="rId934" ref="H936"/>
    <hyperlink r:id="rId935" ref="H937"/>
    <hyperlink r:id="rId936" ref="H938"/>
    <hyperlink r:id="rId937" ref="H939"/>
    <hyperlink r:id="rId938" ref="H940"/>
    <hyperlink r:id="rId939" ref="H941"/>
    <hyperlink r:id="rId940" ref="H942"/>
    <hyperlink r:id="rId941" ref="H943"/>
    <hyperlink r:id="rId942" ref="H944"/>
    <hyperlink r:id="rId943" ref="H945"/>
    <hyperlink r:id="rId944" ref="H946"/>
    <hyperlink r:id="rId945" ref="H947"/>
    <hyperlink r:id="rId946" ref="H948"/>
    <hyperlink r:id="rId947" ref="H949"/>
    <hyperlink r:id="rId948" ref="H950"/>
    <hyperlink r:id="rId949" ref="H951"/>
    <hyperlink r:id="rId950" ref="H952"/>
    <hyperlink r:id="rId951" ref="H953"/>
    <hyperlink r:id="rId952" ref="H954"/>
    <hyperlink r:id="rId953" ref="H955"/>
    <hyperlink r:id="rId954" ref="H956"/>
    <hyperlink r:id="rId955" ref="H957"/>
    <hyperlink r:id="rId956" ref="H958"/>
    <hyperlink r:id="rId957" ref="H959"/>
    <hyperlink r:id="rId958" ref="H960"/>
    <hyperlink r:id="rId959" ref="H961"/>
    <hyperlink r:id="rId960" ref="H962"/>
    <hyperlink r:id="rId961" ref="H963"/>
    <hyperlink r:id="rId962" ref="H964"/>
    <hyperlink r:id="rId963" ref="H965"/>
    <hyperlink r:id="rId964" ref="H966"/>
    <hyperlink r:id="rId965" ref="H967"/>
    <hyperlink r:id="rId966" ref="H968"/>
    <hyperlink r:id="rId967" ref="H969"/>
    <hyperlink r:id="rId968" ref="H970"/>
    <hyperlink r:id="rId969" ref="H971"/>
    <hyperlink r:id="rId970" ref="H972"/>
    <hyperlink r:id="rId971" ref="H973"/>
    <hyperlink r:id="rId972" ref="H974"/>
    <hyperlink r:id="rId973" ref="H975"/>
    <hyperlink r:id="rId974" ref="H976"/>
    <hyperlink r:id="rId975" ref="H977"/>
    <hyperlink r:id="rId976" ref="H978"/>
    <hyperlink r:id="rId977" ref="H979"/>
    <hyperlink r:id="rId978" ref="H980"/>
    <hyperlink r:id="rId979" ref="H981"/>
    <hyperlink r:id="rId980" ref="H982"/>
    <hyperlink r:id="rId981" ref="H983"/>
    <hyperlink r:id="rId982" ref="H984"/>
    <hyperlink r:id="rId983" ref="H985"/>
    <hyperlink r:id="rId984" ref="H986"/>
    <hyperlink r:id="rId985" ref="H987"/>
    <hyperlink r:id="rId986" ref="H988"/>
    <hyperlink r:id="rId987" ref="H989"/>
    <hyperlink r:id="rId988" ref="H990"/>
    <hyperlink r:id="rId989" ref="H991"/>
    <hyperlink r:id="rId990" ref="H992"/>
    <hyperlink r:id="rId991" ref="H993"/>
    <hyperlink r:id="rId992" ref="H994"/>
    <hyperlink r:id="rId993" ref="H995"/>
    <hyperlink r:id="rId994" ref="H996"/>
    <hyperlink r:id="rId995" ref="H997"/>
    <hyperlink r:id="rId996" ref="H998"/>
    <hyperlink r:id="rId997" ref="H999"/>
    <hyperlink r:id="rId998" ref="H1000"/>
    <hyperlink r:id="rId999" ref="H1001"/>
    <hyperlink r:id="rId1000" ref="H1002"/>
    <hyperlink r:id="rId1001" ref="H1003"/>
    <hyperlink r:id="rId1002" ref="H1004"/>
    <hyperlink r:id="rId1003" ref="H1005"/>
    <hyperlink r:id="rId1004" ref="H1006"/>
    <hyperlink r:id="rId1005" ref="H1007"/>
    <hyperlink r:id="rId1006" ref="H1008"/>
    <hyperlink r:id="rId1007" ref="H1009"/>
    <hyperlink r:id="rId1008" ref="H1010"/>
    <hyperlink r:id="rId1009" ref="H1011"/>
    <hyperlink r:id="rId1010" ref="H1012"/>
    <hyperlink r:id="rId1011" ref="H1013"/>
    <hyperlink r:id="rId1012" ref="H1014"/>
    <hyperlink r:id="rId1013" ref="H1015"/>
    <hyperlink r:id="rId1014" ref="H1016"/>
    <hyperlink r:id="rId1015" ref="H1017"/>
    <hyperlink r:id="rId1016" ref="H1018"/>
    <hyperlink r:id="rId1017" ref="H1019"/>
    <hyperlink r:id="rId1018" ref="H1020"/>
    <hyperlink r:id="rId1019" ref="H1021"/>
    <hyperlink r:id="rId1020" ref="H1022"/>
    <hyperlink r:id="rId1021" ref="H1023"/>
    <hyperlink r:id="rId1022" ref="H1024"/>
    <hyperlink r:id="rId1023" ref="H1025"/>
    <hyperlink r:id="rId1024" ref="H1026"/>
    <hyperlink r:id="rId1025" ref="H1027"/>
    <hyperlink r:id="rId1026" ref="H1028"/>
    <hyperlink r:id="rId1027" ref="H1029"/>
    <hyperlink r:id="rId1028" ref="H1030"/>
    <hyperlink r:id="rId1029" ref="H1031"/>
    <hyperlink r:id="rId1030" ref="H1032"/>
    <hyperlink r:id="rId1031" ref="H1033"/>
    <hyperlink r:id="rId1032" ref="H1034"/>
    <hyperlink r:id="rId1033" ref="H1035"/>
    <hyperlink r:id="rId1034" ref="H1036"/>
    <hyperlink r:id="rId1035" ref="H1037"/>
    <hyperlink r:id="rId1036" ref="H1038"/>
    <hyperlink r:id="rId1037" ref="H1039"/>
    <hyperlink r:id="rId1038" ref="H1040"/>
    <hyperlink r:id="rId1039" ref="H1041"/>
    <hyperlink r:id="rId1040" ref="H1042"/>
    <hyperlink r:id="rId1041" ref="H1043"/>
    <hyperlink r:id="rId1042" ref="H1044"/>
    <hyperlink r:id="rId1043" ref="H1045"/>
    <hyperlink r:id="rId1044" ref="H1046"/>
    <hyperlink r:id="rId1045" ref="H1047"/>
    <hyperlink r:id="rId1046" ref="H1048"/>
    <hyperlink r:id="rId1047" ref="H1049"/>
    <hyperlink r:id="rId1048" ref="H1050"/>
    <hyperlink r:id="rId1049" ref="H1051"/>
    <hyperlink r:id="rId1050" ref="H1052"/>
    <hyperlink r:id="rId1051" ref="H1053"/>
    <hyperlink r:id="rId1052" ref="H1054"/>
    <hyperlink r:id="rId1053" ref="H1055"/>
    <hyperlink r:id="rId1054" ref="H1056"/>
    <hyperlink r:id="rId1055" ref="H1057"/>
    <hyperlink r:id="rId1056" ref="H1058"/>
    <hyperlink r:id="rId1057" ref="H1059"/>
    <hyperlink r:id="rId1058" ref="H1060"/>
    <hyperlink r:id="rId1059" ref="H1061"/>
    <hyperlink r:id="rId1060" ref="H1062"/>
    <hyperlink r:id="rId1061" ref="H1063"/>
    <hyperlink r:id="rId1062" ref="H1064"/>
    <hyperlink r:id="rId1063" ref="H1065"/>
    <hyperlink r:id="rId1064" ref="H1066"/>
    <hyperlink r:id="rId1065" ref="H1067"/>
    <hyperlink r:id="rId1066" ref="H1068"/>
    <hyperlink r:id="rId1067" ref="H1069"/>
    <hyperlink r:id="rId1068" ref="H1070"/>
    <hyperlink r:id="rId1069" ref="H1071"/>
    <hyperlink r:id="rId1070" ref="H1072"/>
    <hyperlink r:id="rId1071" ref="H1073"/>
    <hyperlink r:id="rId1072" ref="H1074"/>
    <hyperlink r:id="rId1073" ref="H1075"/>
    <hyperlink r:id="rId1074" ref="H1076"/>
    <hyperlink r:id="rId1075" ref="H1077"/>
    <hyperlink r:id="rId1076" ref="H1078"/>
    <hyperlink r:id="rId1077" ref="H1079"/>
    <hyperlink r:id="rId1078" ref="H1080"/>
    <hyperlink r:id="rId1079" ref="H1081"/>
    <hyperlink r:id="rId1080" ref="H1082"/>
    <hyperlink r:id="rId1081" ref="H1083"/>
    <hyperlink r:id="rId1082" ref="H1084"/>
    <hyperlink r:id="rId1083" ref="H1085"/>
    <hyperlink r:id="rId1084" ref="H1086"/>
    <hyperlink r:id="rId1085" ref="H1087"/>
    <hyperlink r:id="rId1086" ref="H1088"/>
    <hyperlink r:id="rId1087" ref="H1089"/>
    <hyperlink r:id="rId1088" ref="H1090"/>
    <hyperlink r:id="rId1089" ref="H1091"/>
    <hyperlink r:id="rId1090" ref="H1092"/>
    <hyperlink r:id="rId1091" ref="H1093"/>
    <hyperlink r:id="rId1092" ref="H1094"/>
    <hyperlink r:id="rId1093" ref="H1095"/>
    <hyperlink r:id="rId1094" ref="H1096"/>
    <hyperlink r:id="rId1095" ref="H1097"/>
    <hyperlink r:id="rId1096" ref="H1098"/>
    <hyperlink r:id="rId1097" ref="H1099"/>
    <hyperlink r:id="rId1098" ref="H1100"/>
    <hyperlink r:id="rId1099" ref="H1101"/>
    <hyperlink r:id="rId1100" ref="H1102"/>
    <hyperlink r:id="rId1101" ref="H1103"/>
    <hyperlink r:id="rId1102" ref="H1104"/>
    <hyperlink r:id="rId1103" ref="H1105"/>
    <hyperlink r:id="rId1104" ref="H1106"/>
    <hyperlink r:id="rId1105" ref="H1107"/>
    <hyperlink r:id="rId1106" ref="H1108"/>
    <hyperlink r:id="rId1107" ref="H1109"/>
    <hyperlink r:id="rId1108" ref="H1110"/>
    <hyperlink r:id="rId1109" ref="H1111"/>
    <hyperlink r:id="rId1110" ref="H1112"/>
    <hyperlink r:id="rId1111" ref="H1113"/>
    <hyperlink r:id="rId1112" ref="H1114"/>
    <hyperlink r:id="rId1113" ref="H1115"/>
    <hyperlink r:id="rId1114" ref="H1116"/>
    <hyperlink r:id="rId1115" ref="H1117"/>
    <hyperlink r:id="rId1116" ref="H1118"/>
    <hyperlink r:id="rId1117" ref="H1119"/>
    <hyperlink r:id="rId1118" ref="H1120"/>
    <hyperlink r:id="rId1119" ref="H1121"/>
    <hyperlink r:id="rId1120" ref="H1122"/>
    <hyperlink r:id="rId1121" ref="H1123"/>
    <hyperlink r:id="rId1122" ref="H1124"/>
    <hyperlink r:id="rId1123" ref="H1125"/>
    <hyperlink r:id="rId1124" ref="H1126"/>
    <hyperlink r:id="rId1125" ref="H1127"/>
    <hyperlink r:id="rId1126" ref="H1128"/>
    <hyperlink r:id="rId1127" ref="H1129"/>
    <hyperlink r:id="rId1128" ref="H1130"/>
    <hyperlink r:id="rId1129" ref="H1131"/>
    <hyperlink r:id="rId1130" ref="H1132"/>
    <hyperlink r:id="rId1131" ref="H1133"/>
    <hyperlink r:id="rId1132" ref="H1134"/>
    <hyperlink r:id="rId1133" ref="H1135"/>
    <hyperlink r:id="rId1134" ref="H1136"/>
    <hyperlink r:id="rId1135" ref="H1137"/>
    <hyperlink r:id="rId1136" ref="H1138"/>
    <hyperlink r:id="rId1137" ref="H1139"/>
    <hyperlink r:id="rId1138" ref="H1140"/>
    <hyperlink r:id="rId1139" ref="H1141"/>
    <hyperlink r:id="rId1140" ref="H1142"/>
    <hyperlink r:id="rId1141" ref="H1143"/>
    <hyperlink r:id="rId1142" ref="H1144"/>
    <hyperlink r:id="rId1143" ref="H1145"/>
    <hyperlink r:id="rId1144" ref="H1146"/>
    <hyperlink r:id="rId1145" ref="H1147"/>
    <hyperlink r:id="rId1146" ref="H1148"/>
    <hyperlink r:id="rId1147" ref="H1149"/>
    <hyperlink r:id="rId1148" ref="H1150"/>
    <hyperlink r:id="rId1149" ref="H1151"/>
    <hyperlink r:id="rId1150" ref="H1152"/>
    <hyperlink r:id="rId1151" ref="H1153"/>
    <hyperlink r:id="rId1152" ref="H1154"/>
    <hyperlink r:id="rId1153" ref="H1155"/>
    <hyperlink r:id="rId1154" ref="H1156"/>
    <hyperlink r:id="rId1155" ref="H1157"/>
    <hyperlink r:id="rId1156" ref="H1158"/>
    <hyperlink r:id="rId1157" ref="H1159"/>
    <hyperlink r:id="rId1158" ref="H1160"/>
    <hyperlink r:id="rId1159" ref="H1161"/>
    <hyperlink r:id="rId1160" ref="H1162"/>
    <hyperlink r:id="rId1161" ref="H1163"/>
    <hyperlink r:id="rId1162" ref="H1164"/>
    <hyperlink r:id="rId1163" ref="H1165"/>
    <hyperlink r:id="rId1164" ref="H1166"/>
    <hyperlink r:id="rId1165" ref="H1167"/>
    <hyperlink r:id="rId1166" ref="H1168"/>
    <hyperlink r:id="rId1167" ref="H1169"/>
    <hyperlink r:id="rId1168" ref="H1170"/>
    <hyperlink r:id="rId1169" ref="H1171"/>
    <hyperlink r:id="rId1170" ref="H1172"/>
    <hyperlink r:id="rId1171" ref="H1173"/>
    <hyperlink r:id="rId1172" ref="H1174"/>
    <hyperlink r:id="rId1173" ref="H1175"/>
    <hyperlink r:id="rId1174" ref="H1176"/>
    <hyperlink r:id="rId1175" ref="H1177"/>
    <hyperlink r:id="rId1176" ref="H1178"/>
    <hyperlink r:id="rId1177" ref="H1179"/>
    <hyperlink r:id="rId1178" ref="H1180"/>
    <hyperlink r:id="rId1179" ref="H1181"/>
    <hyperlink r:id="rId1180" ref="H1182"/>
    <hyperlink r:id="rId1181" ref="H1183"/>
    <hyperlink r:id="rId1182" ref="H1184"/>
    <hyperlink r:id="rId1183" ref="H1185"/>
    <hyperlink r:id="rId1184" ref="H1186"/>
    <hyperlink r:id="rId1185" ref="H1187"/>
    <hyperlink r:id="rId1186" ref="H1188"/>
    <hyperlink r:id="rId1187" ref="H1189"/>
    <hyperlink r:id="rId1188" ref="H1190"/>
    <hyperlink r:id="rId1189" ref="H1191"/>
    <hyperlink r:id="rId1190" ref="H1192"/>
    <hyperlink r:id="rId1191" ref="H1193"/>
    <hyperlink r:id="rId1192" ref="H1194"/>
    <hyperlink r:id="rId1193" ref="H1195"/>
    <hyperlink r:id="rId1194" ref="H1196"/>
    <hyperlink r:id="rId1195" ref="H1197"/>
    <hyperlink r:id="rId1196" ref="H1198"/>
    <hyperlink r:id="rId1197" ref="H1199"/>
    <hyperlink r:id="rId1198" ref="H1200"/>
  </hyperlinks>
  <printOptions/>
  <pageMargins bottom="0.0" footer="0.0" header="0.0" left="0.0" right="0.0" top="0.0"/>
  <pageSetup orientation="landscape"/>
  <drawing r:id="rId119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10.38"/>
    <col customWidth="1" min="3" max="3" width="15.75"/>
    <col customWidth="1" min="4" max="6" width="7.63"/>
  </cols>
  <sheetData>
    <row r="1" ht="15.75" customHeight="1">
      <c r="A1" s="28" t="s">
        <v>1215</v>
      </c>
    </row>
    <row r="2" ht="15.75" customHeight="1"/>
    <row r="3" ht="15.75" customHeight="1">
      <c r="A3" s="28" t="s">
        <v>1216</v>
      </c>
    </row>
    <row r="4" ht="15.75" customHeight="1">
      <c r="A4" s="16" t="s">
        <v>1</v>
      </c>
      <c r="B4" s="16" t="str">
        <f t="shared" ref="B4:B5" si="1">'CHECK-UP FINANCEIRO'!C23</f>
        <v>#REF!</v>
      </c>
    </row>
    <row r="5" ht="15.75" customHeight="1">
      <c r="A5" s="16" t="s">
        <v>3</v>
      </c>
      <c r="B5" s="16" t="str">
        <f t="shared" si="1"/>
        <v>#REF!</v>
      </c>
    </row>
    <row r="6" ht="15.75" customHeight="1">
      <c r="A6" s="16" t="s">
        <v>1217</v>
      </c>
      <c r="B6" s="16" t="str">
        <f>IF('CHECK-UP FINANCEIRO'!C24&gt;0, 'CHECK-UP FINANCEIRO'!C23/'CHECK-UP FINANCEIRO'!C24, 0)</f>
        <v>#REF!</v>
      </c>
    </row>
    <row r="7" ht="15.75" customHeight="1">
      <c r="A7" s="16" t="s">
        <v>1218</v>
      </c>
      <c r="B7" s="16" t="str">
        <f>'CHECK-UP FINANCEIRO'!C25</f>
        <v>#REF!</v>
      </c>
    </row>
    <row r="8" ht="15.75" customHeight="1">
      <c r="A8" s="16" t="s">
        <v>9</v>
      </c>
      <c r="B8" s="16" t="str">
        <f>'CHECK-UP FINANCEIRO'!#REF!</f>
        <v>#ERROR!</v>
      </c>
    </row>
    <row r="9" ht="15.75" customHeight="1">
      <c r="A9" s="16" t="s">
        <v>1219</v>
      </c>
      <c r="B9" s="16" t="str">
        <f>'CHECK-UP FINANCEIRO'!C27</f>
        <v>#REF!</v>
      </c>
    </row>
    <row r="10" ht="15.75" customHeight="1"/>
    <row r="11" ht="15.75" customHeight="1">
      <c r="A11" s="28" t="s">
        <v>1220</v>
      </c>
    </row>
    <row r="12" ht="15.75" customHeight="1">
      <c r="A12" s="28" t="s">
        <v>14</v>
      </c>
      <c r="B12" s="28" t="s">
        <v>1221</v>
      </c>
      <c r="C12" s="28" t="s">
        <v>1222</v>
      </c>
    </row>
    <row r="13" ht="15.75" customHeight="1">
      <c r="A13" s="16" t="s">
        <v>1223</v>
      </c>
      <c r="B13" s="16">
        <f>'Parâmetros'!I33</f>
        <v>50</v>
      </c>
      <c r="C13" s="32">
        <f>'Parâmetros'!J33</f>
        <v>25000</v>
      </c>
    </row>
    <row r="14" ht="15.75" customHeight="1">
      <c r="A14" s="16" t="s">
        <v>25</v>
      </c>
      <c r="B14" s="16">
        <f>'Parâmetros'!I34</f>
        <v>8</v>
      </c>
      <c r="C14" s="32">
        <f>'Parâmetros'!J34</f>
        <v>4000</v>
      </c>
    </row>
    <row r="15" ht="15.75" customHeight="1">
      <c r="A15" s="16" t="s">
        <v>28</v>
      </c>
      <c r="B15" s="16">
        <f>'Parâmetros'!I35</f>
        <v>5</v>
      </c>
      <c r="C15" s="32">
        <f>'Parâmetros'!J35</f>
        <v>2500</v>
      </c>
    </row>
    <row r="16" ht="15.75" customHeight="1">
      <c r="A16" s="16" t="s">
        <v>30</v>
      </c>
      <c r="B16" s="16">
        <f>'Parâmetros'!I37</f>
        <v>8</v>
      </c>
      <c r="C16" s="32">
        <f>'Parâmetros'!J37</f>
        <v>4000</v>
      </c>
    </row>
    <row r="17" ht="15.75" customHeight="1">
      <c r="A17" s="16" t="s">
        <v>29</v>
      </c>
      <c r="B17" s="16">
        <f>'Parâmetros'!I36</f>
        <v>5</v>
      </c>
      <c r="C17" s="32">
        <f>'Parâmetros'!J36</f>
        <v>2500</v>
      </c>
    </row>
    <row r="18" ht="15.75" customHeight="1">
      <c r="A18" s="16" t="s">
        <v>1224</v>
      </c>
      <c r="B18" s="16">
        <f>'Parâmetros'!I39</f>
        <v>2</v>
      </c>
      <c r="C18" s="32">
        <f>'Parâmetros'!J39</f>
        <v>1000</v>
      </c>
    </row>
    <row r="19" ht="15.75" customHeight="1">
      <c r="A19" s="16" t="s">
        <v>36</v>
      </c>
      <c r="B19" s="16">
        <f>'Parâmetros'!I41</f>
        <v>2</v>
      </c>
      <c r="C19" s="32">
        <f>'Parâmetros'!J41</f>
        <v>1000</v>
      </c>
    </row>
    <row r="20" ht="15.75" customHeight="1">
      <c r="A20" s="16" t="s">
        <v>51</v>
      </c>
      <c r="B20" s="16">
        <f>'Parâmetros'!I38</f>
        <v>11</v>
      </c>
      <c r="C20" s="32">
        <f>'Parâmetros'!J38</f>
        <v>5500</v>
      </c>
    </row>
    <row r="21" ht="15.75" customHeight="1">
      <c r="A21" s="16" t="s">
        <v>1225</v>
      </c>
      <c r="B21" s="16">
        <f>'Parâmetros'!I40</f>
        <v>2</v>
      </c>
      <c r="C21" s="32">
        <f>'Parâmetros'!J40</f>
        <v>1000</v>
      </c>
    </row>
    <row r="22" ht="15.75" customHeight="1">
      <c r="A22" s="16" t="s">
        <v>1226</v>
      </c>
      <c r="B22" s="16">
        <f>'Parâmetros'!I42</f>
        <v>2</v>
      </c>
      <c r="C22" s="32">
        <f>'Parâmetros'!J42</f>
        <v>1000</v>
      </c>
    </row>
    <row r="23" ht="15.75" customHeight="1">
      <c r="A23" s="16" t="s">
        <v>53</v>
      </c>
      <c r="B23" s="16">
        <f>'Parâmetros'!I43</f>
        <v>5</v>
      </c>
      <c r="C23" s="32">
        <f>'Parâmetros'!J43</f>
        <v>2500</v>
      </c>
    </row>
    <row r="24" ht="15.75" customHeight="1">
      <c r="A24" s="28" t="s">
        <v>1227</v>
      </c>
      <c r="B24" s="28">
        <f t="shared" ref="B24:C24" si="2">SUM(B13:B23)</f>
        <v>100</v>
      </c>
      <c r="C24" s="33">
        <f t="shared" si="2"/>
        <v>50000</v>
      </c>
    </row>
    <row r="25" ht="15.75" customHeight="1"/>
    <row r="26" ht="15.75" customHeight="1">
      <c r="A26" s="28" t="s">
        <v>1228</v>
      </c>
    </row>
    <row r="27" ht="15.75" customHeight="1">
      <c r="A27" s="16" t="s">
        <v>1229</v>
      </c>
    </row>
    <row r="28" ht="15.75" customHeight="1">
      <c r="A28" s="16" t="s">
        <v>1229</v>
      </c>
    </row>
    <row r="29" ht="15.75" customHeight="1">
      <c r="A29" s="16" t="s">
        <v>1229</v>
      </c>
    </row>
    <row r="30" ht="15.75" customHeight="1">
      <c r="A30" s="28" t="s">
        <v>1230</v>
      </c>
    </row>
    <row r="31" ht="15.75" customHeight="1">
      <c r="A31" s="16" t="s">
        <v>1229</v>
      </c>
    </row>
    <row r="32" ht="15.75" customHeight="1">
      <c r="A32" s="16" t="s">
        <v>1229</v>
      </c>
    </row>
    <row r="33" ht="15.75" customHeight="1">
      <c r="A33" s="16" t="s">
        <v>1229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